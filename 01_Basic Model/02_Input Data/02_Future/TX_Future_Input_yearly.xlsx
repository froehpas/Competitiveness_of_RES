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ompetitiveness_of_RES\01_Basic Model\02_Input Data\02_Future\"/>
    </mc:Choice>
  </mc:AlternateContent>
  <xr:revisionPtr revIDLastSave="0" documentId="13_ncr:1_{152B6A02-E141-491F-86BF-9C4BA8A9330D}" xr6:coauthVersionLast="47" xr6:coauthVersionMax="47" xr10:uidLastSave="{00000000-0000-0000-0000-000000000000}"/>
  <bookViews>
    <workbookView xWindow="38280" yWindow="45" windowWidth="38640" windowHeight="21120" activeTab="1" xr2:uid="{9BA085BD-A4BD-4D3B-9BBD-ABB9433EC046}"/>
  </bookViews>
  <sheets>
    <sheet name="fuel_conv" sheetId="1" r:id="rId1"/>
    <sheet name="fuel_renew" sheetId="2" r:id="rId2"/>
    <sheet name="tech_conv" sheetId="3" r:id="rId3"/>
    <sheet name="outages_conv" sheetId="8" r:id="rId4"/>
    <sheet name="tech_renew" sheetId="4" r:id="rId5"/>
    <sheet name="tech_stor" sheetId="5" r:id="rId6"/>
    <sheet name="co2" sheetId="6" r:id="rId7"/>
    <sheet name="ntc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4" l="1"/>
  <c r="E14" i="4"/>
  <c r="C14" i="4"/>
</calcChain>
</file>

<file path=xl/sharedStrings.xml><?xml version="1.0" encoding="utf-8"?>
<sst xmlns="http://schemas.openxmlformats.org/spreadsheetml/2006/main" count="154" uniqueCount="47">
  <si>
    <t>fuelprice</t>
  </si>
  <si>
    <t>uranium</t>
  </si>
  <si>
    <t>lignite</t>
  </si>
  <si>
    <t>hardcoal</t>
  </si>
  <si>
    <t>gas</t>
  </si>
  <si>
    <t>solar</t>
  </si>
  <si>
    <t>wind</t>
  </si>
  <si>
    <t>hydro</t>
  </si>
  <si>
    <t>bioenergy</t>
  </si>
  <si>
    <t>waste</t>
  </si>
  <si>
    <t>otherres</t>
  </si>
  <si>
    <t>othergas</t>
  </si>
  <si>
    <t>nuclear</t>
  </si>
  <si>
    <t>ccgt</t>
  </si>
  <si>
    <t>ocgt</t>
  </si>
  <si>
    <t>windoffshore</t>
  </si>
  <si>
    <t>runofriver</t>
  </si>
  <si>
    <t>reservoir</t>
  </si>
  <si>
    <t>geothermal</t>
  </si>
  <si>
    <t>marine</t>
  </si>
  <si>
    <t>pumpstorage</t>
  </si>
  <si>
    <t>battery</t>
  </si>
  <si>
    <t>carbonprice</t>
  </si>
  <si>
    <t>efficiency</t>
  </si>
  <si>
    <t>gmin</t>
  </si>
  <si>
    <t>lifetime_eco</t>
  </si>
  <si>
    <t>covernight</t>
  </si>
  <si>
    <t>startup_fuelconsumption</t>
  </si>
  <si>
    <t>startup_fixcost</t>
  </si>
  <si>
    <t>avail</t>
  </si>
  <si>
    <t>carboncontent</t>
  </si>
  <si>
    <t>renew_disp</t>
  </si>
  <si>
    <t>renew_curt</t>
  </si>
  <si>
    <t>covernight_kW</t>
  </si>
  <si>
    <t>covernight_MWh</t>
  </si>
  <si>
    <t>storageduration</t>
  </si>
  <si>
    <t>discharge_to_charge_ratio</t>
  </si>
  <si>
    <t>cvarom MWh</t>
  </si>
  <si>
    <t>*cfix</t>
  </si>
  <si>
    <t>SOC</t>
  </si>
  <si>
    <t>COA</t>
  </si>
  <si>
    <t>SOU</t>
  </si>
  <si>
    <t>windonshore</t>
  </si>
  <si>
    <t>NOR</t>
  </si>
  <si>
    <t>FAW</t>
  </si>
  <si>
    <t>WES</t>
  </si>
  <si>
    <t>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</si>
</sst>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\ _€_-;\-* #,##0.00\ _€_-;_-* &quot;-&quot;??\ _€_-;_-@_-"/>
    <numFmt numFmtId="165" formatCode="_-* #,##0\ _€_-;\-* #,##0\ _€_-;_-* &quot;-&quot;??\ _€_-;_-@_-"/>
    <numFmt numFmtId="169" formatCode="_-* #,##0.00_-;\-* #,##0.00_-;_-* &quot;-&quot;??_-;_-@_-"/>
    <numFmt numFmtId="171" formatCode="[$-1010809]dd/mm/yyyy"/>
    <numFmt numFmtId="173" formatCode="_-* #,##0.00\ &quot;DM&quot;_-;\-* #,##0.00\ &quot;DM&quot;_-;_-* &quot;-&quot;??\ &quot;DM&quot;_-;_-@_-"/>
    <numFmt numFmtId="174" formatCode="_-* #,##0.00\ _D_M_-;\-* #,##0.00\ _D_M_-;_-* &quot;-&quot;??\ _D_M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b/>
      <sz val="13"/>
      <color indexed="56"/>
      <name val="Calibri"/>
      <family val="2"/>
    </font>
    <font>
      <b/>
      <sz val="15"/>
      <color indexed="56"/>
      <name val="Calibri"/>
      <family val="2"/>
    </font>
    <font>
      <sz val="10"/>
      <color rgb="FF006100"/>
      <name val="Verdana"/>
      <family val="2"/>
    </font>
    <font>
      <u/>
      <sz val="10"/>
      <color theme="10"/>
      <name val="Arial"/>
      <family val="2"/>
    </font>
    <font>
      <sz val="10"/>
      <color theme="1"/>
      <name val="Verdana"/>
      <family val="2"/>
    </font>
    <font>
      <sz val="12"/>
      <color rgb="FF000000"/>
      <name val="Calibri"/>
      <family val="2"/>
    </font>
    <font>
      <u/>
      <sz val="10"/>
      <color rgb="FF0000FF"/>
      <name val="MS Sans Serif"/>
    </font>
    <font>
      <u/>
      <sz val="12"/>
      <color rgb="FF0000FF"/>
      <name val="Calibri"/>
      <family val="2"/>
    </font>
    <font>
      <u/>
      <sz val="10"/>
      <color indexed="12"/>
      <name val="MS Sans Serif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0"/>
      <color indexed="8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0"/>
      <color indexed="12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Tahoma"/>
      <family val="2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</borders>
  <cellStyleXfs count="222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9" fontId="1" fillId="0" borderId="0" applyFont="0" applyFill="0" applyBorder="0" applyAlignment="0" applyProtection="0"/>
    <xf numFmtId="0" fontId="19" fillId="0" borderId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26" fillId="2" borderId="0" applyNumberFormat="0" applyBorder="0" applyAlignment="0" applyProtection="0"/>
    <xf numFmtId="0" fontId="25" fillId="0" borderId="10" applyNumberFormat="0" applyFill="0" applyAlignment="0" applyProtection="0"/>
    <xf numFmtId="0" fontId="24" fillId="0" borderId="11" applyNumberFormat="0" applyFill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1" fillId="0" borderId="0"/>
    <xf numFmtId="0" fontId="22" fillId="0" borderId="0">
      <alignment wrapText="1"/>
    </xf>
    <xf numFmtId="0" fontId="22" fillId="0" borderId="0">
      <alignment wrapText="1"/>
    </xf>
    <xf numFmtId="0" fontId="2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2" fillId="0" borderId="0">
      <alignment wrapText="1"/>
    </xf>
    <xf numFmtId="0" fontId="19" fillId="0" borderId="0"/>
    <xf numFmtId="0" fontId="22" fillId="0" borderId="0"/>
    <xf numFmtId="0" fontId="21" fillId="0" borderId="0"/>
    <xf numFmtId="0" fontId="21" fillId="0" borderId="0"/>
    <xf numFmtId="171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 applyNumberFormat="0" applyBorder="0" applyProtection="0">
      <alignment vertical="center" wrapText="1"/>
    </xf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9" fontId="1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169" fontId="2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21" fillId="0" borderId="0"/>
    <xf numFmtId="0" fontId="35" fillId="0" borderId="0">
      <alignment vertical="center"/>
    </xf>
    <xf numFmtId="0" fontId="2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Protection="0"/>
    <xf numFmtId="0" fontId="34" fillId="0" borderId="0" applyNumberFormat="0" applyFill="0" applyProtection="0">
      <alignment horizontal="left"/>
    </xf>
    <xf numFmtId="0" fontId="33" fillId="0" borderId="0" applyNumberFormat="0" applyFill="0" applyProtection="0">
      <alignment horizontal="left" vertical="center"/>
    </xf>
    <xf numFmtId="169" fontId="22" fillId="0" borderId="0" applyFont="0" applyFill="0" applyBorder="0" applyAlignment="0" applyProtection="0"/>
    <xf numFmtId="0" fontId="22" fillId="0" borderId="0"/>
    <xf numFmtId="0" fontId="37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>
      <alignment vertical="center"/>
    </xf>
    <xf numFmtId="169" fontId="22" fillId="0" borderId="0" applyFont="0" applyFill="0" applyBorder="0" applyAlignment="0" applyProtection="0"/>
    <xf numFmtId="0" fontId="38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169" fontId="1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174" fontId="22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22" fillId="0" borderId="0"/>
    <xf numFmtId="173" fontId="22" fillId="0" borderId="0" applyFont="0" applyFill="0" applyBorder="0" applyAlignment="0" applyProtection="0"/>
    <xf numFmtId="0" fontId="1" fillId="0" borderId="0"/>
    <xf numFmtId="0" fontId="22" fillId="0" borderId="0">
      <alignment vertical="center"/>
    </xf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3" fillId="0" borderId="0"/>
    <xf numFmtId="0" fontId="41" fillId="0" borderId="0"/>
    <xf numFmtId="0" fontId="42" fillId="0" borderId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9" fontId="0" fillId="0" borderId="0" xfId="0" applyNumberFormat="1"/>
    <xf numFmtId="9" fontId="0" fillId="0" borderId="0" xfId="1" applyFont="1"/>
    <xf numFmtId="9" fontId="2" fillId="0" borderId="0" xfId="0" applyNumberFormat="1" applyFont="1"/>
    <xf numFmtId="9" fontId="2" fillId="0" borderId="0" xfId="1" applyFont="1"/>
    <xf numFmtId="165" fontId="0" fillId="0" borderId="0" xfId="2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22">
    <cellStyle name="20 % - Akzent1" xfId="35" builtinId="30" customBuiltin="1"/>
    <cellStyle name="20 % - Akzent2" xfId="38" builtinId="34" customBuiltin="1"/>
    <cellStyle name="20 % - Akzent3" xfId="41" builtinId="38" customBuiltin="1"/>
    <cellStyle name="20 % - Akzent4" xfId="44" builtinId="42" customBuiltin="1"/>
    <cellStyle name="20 % - Akzent5" xfId="47" builtinId="46" customBuiltin="1"/>
    <cellStyle name="20 % - Akzent6" xfId="50" builtinId="50" customBuiltin="1"/>
    <cellStyle name="40 % - Akzent1" xfId="36" builtinId="31" customBuiltin="1"/>
    <cellStyle name="40 % - Akzent2" xfId="39" builtinId="35" customBuiltin="1"/>
    <cellStyle name="40 % - Akzent3" xfId="42" builtinId="39" customBuiltin="1"/>
    <cellStyle name="40 % - Akzent4" xfId="45" builtinId="43" customBuiltin="1"/>
    <cellStyle name="40 % - Akzent5" xfId="48" builtinId="47" customBuiltin="1"/>
    <cellStyle name="40 % - Akzent6" xfId="51" builtinId="51" customBuiltin="1"/>
    <cellStyle name="60 % - Akzent1 2" xfId="150" xr:uid="{17F51B4A-2C01-491C-9F3D-2DC9376475D2}"/>
    <cellStyle name="60 % - Akzent2 2" xfId="151" xr:uid="{A2DB94D1-A162-43A5-9297-6E46AF5AB0CC}"/>
    <cellStyle name="60 % - Akzent3 2" xfId="152" xr:uid="{6CF82486-BE5B-40AA-9B95-BB930FC2BEF5}"/>
    <cellStyle name="60 % - Akzent4 2" xfId="153" xr:uid="{EAD95F06-BA2F-4200-9DDB-216704A3BF75}"/>
    <cellStyle name="60 % - Akzent5 2" xfId="154" xr:uid="{4ABD5C62-3DC5-47B5-8EDF-1D10FB0AC5B7}"/>
    <cellStyle name="60 % - Akzent6 2" xfId="155" xr:uid="{318F9112-8D10-4F4C-B268-E54B3B021582}"/>
    <cellStyle name="Akzent1" xfId="34" builtinId="29" customBuiltin="1"/>
    <cellStyle name="Akzent2" xfId="37" builtinId="33" customBuiltin="1"/>
    <cellStyle name="Akzent3" xfId="40" builtinId="37" customBuiltin="1"/>
    <cellStyle name="Akzent4" xfId="43" builtinId="41" customBuiltin="1"/>
    <cellStyle name="Akzent5" xfId="46" builtinId="45" customBuiltin="1"/>
    <cellStyle name="Akzent6" xfId="49" builtinId="49" customBuiltin="1"/>
    <cellStyle name="Ausgabe" xfId="26" builtinId="21" customBuiltin="1"/>
    <cellStyle name="Berechnung" xfId="27" builtinId="22" customBuiltin="1"/>
    <cellStyle name="Comma 11" xfId="131" xr:uid="{34407577-5BB7-43BC-9DC9-853205038C4F}"/>
    <cellStyle name="Comma 11 2" xfId="201" xr:uid="{CB92F9D0-2D78-4F27-9080-2001A0D92388}"/>
    <cellStyle name="Comma 2" xfId="55" xr:uid="{9BEDDE04-E489-4059-999B-FAF444D81E48}"/>
    <cellStyle name="Comma 2 10" xfId="182" xr:uid="{7A8EF698-36A6-4D97-8572-671244CC8CD9}"/>
    <cellStyle name="Comma 2 2" xfId="56" xr:uid="{11E6E9CB-42B9-42D7-9C05-5226EB0CC81F}"/>
    <cellStyle name="Comma 2 2 2" xfId="183" xr:uid="{59C82808-6C0E-4484-8F0F-598AFF43516C}"/>
    <cellStyle name="Comma 2 3" xfId="57" xr:uid="{6D420EF9-93CA-4D60-8491-075CE9D9CC2D}"/>
    <cellStyle name="Comma 2 3 2" xfId="58" xr:uid="{BDDB8934-CB51-4BCF-A493-A6CB2891E1B9}"/>
    <cellStyle name="Comma 2 3 2 2" xfId="185" xr:uid="{49ABF13C-27CB-4348-80FD-161AB032A356}"/>
    <cellStyle name="Comma 2 3 3" xfId="184" xr:uid="{96BC9366-E77B-4B19-9C41-9841C0949319}"/>
    <cellStyle name="Comma 2 4" xfId="59" xr:uid="{3DDBB303-3F90-47AF-B312-620901AF0992}"/>
    <cellStyle name="Comma 2 4 2" xfId="186" xr:uid="{C4ABFC2C-9A47-43C3-A7A3-0E828DB594EE}"/>
    <cellStyle name="Comma 2 5" xfId="60" xr:uid="{104FE0C5-1BBE-49BD-92D8-DBCDA71EAE77}"/>
    <cellStyle name="Comma 2 5 2" xfId="187" xr:uid="{EE88AA83-455B-4220-AA33-A7B60130B85F}"/>
    <cellStyle name="Comma 2 6" xfId="61" xr:uid="{F58399DC-7350-4A01-BBF6-1815EF3D9EFC}"/>
    <cellStyle name="Comma 2 6 2" xfId="188" xr:uid="{A43E524A-6E76-4D34-8C09-8A4C962CB02A}"/>
    <cellStyle name="Comma 2 7" xfId="62" xr:uid="{1C293D04-E9C0-46CF-9A8D-84C44800CD0C}"/>
    <cellStyle name="Comma 2 7 2" xfId="189" xr:uid="{4A257017-9998-4070-80C9-F0FACF91336D}"/>
    <cellStyle name="Comma 2 8" xfId="63" xr:uid="{2A01EA5B-2FB8-4FC4-BCB4-EE4CECF2236C}"/>
    <cellStyle name="Comma 2 8 2" xfId="190" xr:uid="{19926AFA-C5E2-4A18-AF2D-F20D551F5AC7}"/>
    <cellStyle name="Comma 2 9" xfId="64" xr:uid="{9F374FF8-9F0D-4B8C-940C-E54A61B0800E}"/>
    <cellStyle name="Comma 2 9 2" xfId="191" xr:uid="{FBBAC1CB-BD62-4FFC-B0BD-D68695195FC1}"/>
    <cellStyle name="Comma 3" xfId="65" xr:uid="{46EEAD3A-8E2E-448B-8F00-107F8179F7DF}"/>
    <cellStyle name="Comma 3 2" xfId="66" xr:uid="{FAA42B1E-A185-42C7-9153-B1412C91B8C9}"/>
    <cellStyle name="Comma 3 2 2" xfId="193" xr:uid="{E2C9663C-0B4C-4A92-8FF3-8F9E41270A2A}"/>
    <cellStyle name="Comma 3 3" xfId="192" xr:uid="{1B97B5CA-F760-4FF7-BCD9-C5722588818F}"/>
    <cellStyle name="Comma 4" xfId="67" xr:uid="{445932EA-7339-42B0-835C-7064887C54CD}"/>
    <cellStyle name="Comma 4 2" xfId="68" xr:uid="{35811A24-2434-4DF4-9AF0-2CECF0EDB3C5}"/>
    <cellStyle name="Comma 4 2 2" xfId="172" xr:uid="{B641E129-76C6-46A6-BFB8-9F119D1EBEE1}"/>
    <cellStyle name="Comma 4 2 2 2" xfId="217" xr:uid="{723DA881-67D0-46EC-ABEC-1365A69C8BD3}"/>
    <cellStyle name="Comma 4 2 3" xfId="206" xr:uid="{2D489949-10A0-4B43-A50A-B1F527092C08}"/>
    <cellStyle name="Comma 4 3" xfId="171" xr:uid="{F4C44497-5F32-4D90-BD9E-16AFDCE57CA7}"/>
    <cellStyle name="Comma 4 3 2" xfId="216" xr:uid="{F4CBAF58-3850-4A2F-B7C0-10C5A376A8AF}"/>
    <cellStyle name="Comma 4 4" xfId="205" xr:uid="{1A20304D-F893-463B-AD08-B24F83AC569B}"/>
    <cellStyle name="Comma 5" xfId="69" xr:uid="{C7F691A8-E736-4977-8435-34D023BF2FB6}"/>
    <cellStyle name="Comma 5 2" xfId="70" xr:uid="{D6DF5533-2A77-4349-8E53-34A1FA0DF792}"/>
    <cellStyle name="Comma 5 2 2" xfId="195" xr:uid="{E552295C-2204-4CE0-9BC3-ACD153A6C727}"/>
    <cellStyle name="Comma 5 3" xfId="194" xr:uid="{DB4CFF76-499F-41F8-8514-DEF910C52526}"/>
    <cellStyle name="Comma 6" xfId="71" xr:uid="{E3AA1230-4817-49E5-A4D0-98F99EE3AC8D}"/>
    <cellStyle name="Comma 6 2" xfId="72" xr:uid="{98C512B6-B363-462B-8103-84DB59AF583A}"/>
    <cellStyle name="Comma 6 2 2" xfId="197" xr:uid="{F163877D-AE14-42C1-8006-F4B347755BE9}"/>
    <cellStyle name="Comma 6 3" xfId="73" xr:uid="{F0A73E2C-720B-42BB-8125-8EDFA82A3F4F}"/>
    <cellStyle name="Comma 6 3 2" xfId="198" xr:uid="{7EAEAA21-42E1-47EE-A801-5713265E75B3}"/>
    <cellStyle name="Comma 6 4" xfId="196" xr:uid="{7367730F-7FEC-4108-A34B-D0F35EFCC674}"/>
    <cellStyle name="Comma 7" xfId="74" xr:uid="{19DD84BC-C86B-41E2-B37A-925D50169E5A}"/>
    <cellStyle name="Comma 7 2" xfId="199" xr:uid="{B58152A0-7093-404B-9563-295E649B5E55}"/>
    <cellStyle name="Comma 8" xfId="75" xr:uid="{D76D8A08-65D8-4605-A689-B1D7015505DB}"/>
    <cellStyle name="Comma 8 2" xfId="200" xr:uid="{A31F0C9F-43DE-4B65-8511-B2B4DCDB3907}"/>
    <cellStyle name="Eingabe" xfId="25" builtinId="20" customBuiltin="1"/>
    <cellStyle name="Ergebnis" xfId="33" builtinId="25" customBuiltin="1"/>
    <cellStyle name="Erklärender Text" xfId="32" builtinId="53" customBuiltin="1"/>
    <cellStyle name="Good 2" xfId="76" xr:uid="{DDDE0048-FEA1-44E8-8927-0BD0CBC72224}"/>
    <cellStyle name="Gut" xfId="23" builtinId="26" customBuiltin="1"/>
    <cellStyle name="Heading 1 2" xfId="77" xr:uid="{6E6AC747-77D2-4221-83B5-7D593515C5BD}"/>
    <cellStyle name="Heading 2 2" xfId="78" xr:uid="{41CAC80A-FECC-4D33-A63A-14D2BE5982AC}"/>
    <cellStyle name="Hyperlink 2" xfId="80" xr:uid="{21C608A9-4865-4FE2-AEAE-3F3CBCDC669C}"/>
    <cellStyle name="Hyperlink 2 2" xfId="138" xr:uid="{A50716FA-7DF7-49BD-B482-2ED997C885BF}"/>
    <cellStyle name="Hyperlink 2 3" xfId="130" xr:uid="{A96E17E6-8044-4D1A-AA75-2D86C257AB7D}"/>
    <cellStyle name="Hyperlink 2 3 2" xfId="132" xr:uid="{80A2BB66-1337-45CD-A3CC-E3AEE8722AD9}"/>
    <cellStyle name="Hyperlink 3" xfId="81" xr:uid="{04963D41-8B54-4099-95B4-0B034AF5AAAC}"/>
    <cellStyle name="Komma 2" xfId="2" xr:uid="{AF1FA308-5BB0-4765-9052-001723E4E16E}"/>
    <cellStyle name="Komma 2 2" xfId="6" xr:uid="{546B1FA4-ED3D-4CCF-BFB1-6934F261636D}"/>
    <cellStyle name="Komma 2 2 2" xfId="7" xr:uid="{C0449768-2484-446A-AB6E-F20247C009BA}"/>
    <cellStyle name="Komma 2 2 2 2" xfId="9" xr:uid="{87EADEA1-1609-457D-98AF-3D679CF76F67}"/>
    <cellStyle name="Komma 2 2 2 2 2" xfId="146" xr:uid="{8A6D72ED-EE3A-4CDD-B170-81A655CF2FB7}"/>
    <cellStyle name="Komma 2 2 2 2 2 2" xfId="176" xr:uid="{5B5D2506-68D8-4D29-BF2E-F01EF6EC8C63}"/>
    <cellStyle name="Komma 2 2 2 2 2 2 2" xfId="221" xr:uid="{6B930584-97A6-409B-9377-F613590B1467}"/>
    <cellStyle name="Komma 2 2 2 2 2 3" xfId="210" xr:uid="{5D0A1C5C-9EAD-4EB2-A9D2-6A64138D64EE}"/>
    <cellStyle name="Komma 2 2 2 2 3" xfId="170" xr:uid="{7082273C-92AD-4006-8788-33B8C5C71B96}"/>
    <cellStyle name="Komma 2 2 2 2 3 2" xfId="215" xr:uid="{E4DD23F4-60F3-44FA-9866-E7FDCD3329CB}"/>
    <cellStyle name="Komma 2 2 2 2 4" xfId="204" xr:uid="{77A9B233-F157-461D-97A2-749C8B421AD3}"/>
    <cellStyle name="Komma 2 2 2 3" xfId="11" xr:uid="{87EADEA1-1609-457D-98AF-3D679CF76F67}"/>
    <cellStyle name="Komma 2 2 2 3 2" xfId="174" xr:uid="{D9E3411B-D9BB-4C80-B6FB-D17EFA0F0268}"/>
    <cellStyle name="Komma 2 2 2 3 2 2" xfId="219" xr:uid="{FAF774EE-5C0B-4B52-A294-AB6930E11C77}"/>
    <cellStyle name="Komma 2 2 2 3 3" xfId="208" xr:uid="{47E852BB-4B33-4F07-BAEE-E4B04E5A1D9D}"/>
    <cellStyle name="Komma 2 2 2 4" xfId="13" xr:uid="{87EADEA1-1609-457D-98AF-3D679CF76F67}"/>
    <cellStyle name="Komma 2 2 2 4 2" xfId="213" xr:uid="{424F7161-32B0-457A-9516-C3E08842B2C2}"/>
    <cellStyle name="Komma 2 2 2 5" xfId="15" xr:uid="{87EADEA1-1609-457D-98AF-3D679CF76F67}"/>
    <cellStyle name="Komma 2 2 2 6" xfId="17" xr:uid="{87EADEA1-1609-457D-98AF-3D679CF76F67}"/>
    <cellStyle name="Komma 2 2 3" xfId="157" xr:uid="{625386E9-536A-40E4-B559-E193850F0BEE}"/>
    <cellStyle name="Komma 2 2 3 2" xfId="180" xr:uid="{4D7F8087-D3FF-4307-9FFE-CEB88BF7C457}"/>
    <cellStyle name="Komma 2 2 4" xfId="52" xr:uid="{8D61CB9B-951B-4B12-A2DB-9C9CF8E40BF3}"/>
    <cellStyle name="Komma 2 3" xfId="8" xr:uid="{D78E7949-E497-4216-AFE6-65271F7AA945}"/>
    <cellStyle name="Komma 2 3 2" xfId="145" xr:uid="{670282F2-9E5F-4FA5-A525-6E132569A3B0}"/>
    <cellStyle name="Komma 2 3 2 2" xfId="175" xr:uid="{3F7AEAFD-8914-4B39-8331-1CBBFF78342B}"/>
    <cellStyle name="Komma 2 3 2 2 2" xfId="220" xr:uid="{8AC902A7-2398-4BC4-99D4-E3F0CB943F40}"/>
    <cellStyle name="Komma 2 3 2 3" xfId="209" xr:uid="{ED730A65-4EA1-465B-B598-384C6D52899F}"/>
    <cellStyle name="Komma 2 3 3" xfId="158" xr:uid="{92ACDF74-FEA4-4E55-B178-F20C48B5D1D5}"/>
    <cellStyle name="Komma 2 3 4" xfId="169" xr:uid="{7EC289F8-FCA8-492E-BA17-27CF85E36018}"/>
    <cellStyle name="Komma 2 3 4 2" xfId="214" xr:uid="{2D8F8C5D-0924-4A69-B091-E6F9DBA9511A}"/>
    <cellStyle name="Komma 2 3 5" xfId="203" xr:uid="{F56514EC-F7AB-4AE2-968A-223CD2C03C72}"/>
    <cellStyle name="Komma 2 4" xfId="10" xr:uid="{D78E7949-E497-4216-AFE6-65271F7AA945}"/>
    <cellStyle name="Komma 2 4 2" xfId="173" xr:uid="{BC8848A4-83BF-4F92-BCDC-AD1DF833277E}"/>
    <cellStyle name="Komma 2 4 2 2" xfId="218" xr:uid="{72B02D91-0F46-40E1-A3D4-CC441C1CBAD6}"/>
    <cellStyle name="Komma 2 4 3" xfId="207" xr:uid="{A596947B-ED03-4BD5-93DD-6FD5E0FEE93B}"/>
    <cellStyle name="Komma 2 5" xfId="12" xr:uid="{D78E7949-E497-4216-AFE6-65271F7AA945}"/>
    <cellStyle name="Komma 2 5 2" xfId="148" xr:uid="{088A3652-BB77-479F-B98D-296F0B44A451}"/>
    <cellStyle name="Komma 2 6" xfId="14" xr:uid="{D78E7949-E497-4216-AFE6-65271F7AA945}"/>
    <cellStyle name="Komma 2 6 2" xfId="212" xr:uid="{5000F315-1C69-4687-AD47-20533EEA6B58}"/>
    <cellStyle name="Komma 2 7" xfId="16" xr:uid="{D78E7949-E497-4216-AFE6-65271F7AA945}"/>
    <cellStyle name="Komma 3" xfId="54" xr:uid="{8824DA6A-8B17-4648-956F-433F03A0F9CB}"/>
    <cellStyle name="Komma 3 2" xfId="156" xr:uid="{A86B53B3-15F2-4D5E-9433-4687CE88184F}"/>
    <cellStyle name="Komma 3 2 2" xfId="181" xr:uid="{23B1558E-895D-49BE-9C3F-194DC97968BA}"/>
    <cellStyle name="Komma 4" xfId="142" xr:uid="{1F24ED7D-559A-4CA2-BC2D-A496AC3FBD8D}"/>
    <cellStyle name="Komma 4 2" xfId="160" xr:uid="{750E9450-7AB8-4A98-89B3-6431588D9BA3}"/>
    <cellStyle name="Komma 4 2 2" xfId="202" xr:uid="{2070686F-FDD7-4B45-8168-32C53569BDA5}"/>
    <cellStyle name="Komma 4 2 3" xfId="211" xr:uid="{B8125AAE-015E-4853-9D86-2AA65DC9FC65}"/>
    <cellStyle name="Komma 5" xfId="162" xr:uid="{415D70B1-57E0-4063-8346-D57584823627}"/>
    <cellStyle name="Link 2" xfId="79" xr:uid="{4842BA37-1AC9-4DB0-9F50-64E2461D7F4F}"/>
    <cellStyle name="Link 2 2" xfId="163" xr:uid="{44EAF918-56A2-46D1-8C5D-049AB9B79C8B}"/>
    <cellStyle name="Neutral 2" xfId="149" xr:uid="{510CCA6B-ECC5-4D64-B41B-7FDFB195FF4F}"/>
    <cellStyle name="Normal 10" xfId="82" xr:uid="{9562932E-9CB4-484E-9808-61307F31ED51}"/>
    <cellStyle name="Normal 11" xfId="83" xr:uid="{331B2359-7E45-43C5-9846-4C2AA74CFD6E}"/>
    <cellStyle name="Normal 12" xfId="84" xr:uid="{91339728-0F0F-4A46-B3FF-96533C14E0C6}"/>
    <cellStyle name="Normal 13" xfId="85" xr:uid="{1B7E61E2-7DC8-4093-9D3D-229D97B1BA7E}"/>
    <cellStyle name="Normal 14" xfId="86" xr:uid="{D1C8E984-98DF-4A48-AE39-CB6E48359A54}"/>
    <cellStyle name="Normal 15" xfId="87" xr:uid="{5671CB83-E520-41DE-93D3-49466ED8533C}"/>
    <cellStyle name="Normal 16" xfId="88" xr:uid="{D33FFCFC-0D0F-4476-9C28-05AAC774C9AB}"/>
    <cellStyle name="Normal 17" xfId="89" xr:uid="{0672178A-55C4-4CF0-A8C4-5AA5D24C4224}"/>
    <cellStyle name="Normal 17 2" xfId="90" xr:uid="{110D010E-A5BC-42A6-A129-6A9066990D95}"/>
    <cellStyle name="Normal 2" xfId="4" xr:uid="{098744FE-9844-4518-A91E-00A8F4258A86}"/>
    <cellStyle name="Normal 2 2" xfId="5" xr:uid="{FCD300CD-8039-44DF-B12D-F1531F7C3F26}"/>
    <cellStyle name="Normal 2 2 2" xfId="92" xr:uid="{71F04999-2202-4BE9-ABAB-AD2E6F9169B0}"/>
    <cellStyle name="Normal 2 3" xfId="93" xr:uid="{67B7E7FD-8C9A-4F45-86B6-B500F87DC933}"/>
    <cellStyle name="Normal 2 4" xfId="94" xr:uid="{2BEB0EB2-BCC8-42E5-916C-2C1369972340}"/>
    <cellStyle name="Normal 2 5" xfId="91" xr:uid="{C916A1EE-6E5A-4132-9CC6-CE5557EBFD4D}"/>
    <cellStyle name="Normal 2 6" xfId="137" xr:uid="{B600E5CA-E77B-4157-A365-C1CE11705C26}"/>
    <cellStyle name="Normal 3" xfId="3" xr:uid="{FA51F745-E432-4830-B289-30C69457E580}"/>
    <cellStyle name="Normal 3 2" xfId="96" xr:uid="{5BC91039-B8D3-4164-82BD-2CF08A4F6565}"/>
    <cellStyle name="Normal 3 2 2" xfId="97" xr:uid="{273230DE-2C92-4305-AFD4-D2562BB22B96}"/>
    <cellStyle name="Normal 3 3" xfId="98" xr:uid="{5EB8B9BA-FA15-41F2-B60C-B216BE7ECDAC}"/>
    <cellStyle name="Normal 3 4" xfId="99" xr:uid="{8FF4AD3A-0168-4D4F-B6B2-4FFA4A8550DE}"/>
    <cellStyle name="Normal 3 5" xfId="95" xr:uid="{3328823B-5108-453F-87D8-115099CA292F}"/>
    <cellStyle name="Normal 4" xfId="100" xr:uid="{292AF5FF-DFD0-4EE7-A4CB-293B788CBC35}"/>
    <cellStyle name="Normal 4 2" xfId="101" xr:uid="{8F95CB3A-4DFB-4966-9F05-EDD7ABDE192E}"/>
    <cellStyle name="Normal 4 2 2" xfId="102" xr:uid="{9108E308-6B35-416D-946B-C6DD46DA20C8}"/>
    <cellStyle name="Normal 4 3" xfId="103" xr:uid="{E960C09D-03B1-401C-BC14-4DE4F36E883F}"/>
    <cellStyle name="Normal 4 3 2" xfId="135" xr:uid="{F705E6F7-3CEF-4B03-8014-7D9B6EDFFEA5}"/>
    <cellStyle name="Normal 4 4" xfId="104" xr:uid="{B06E8383-B910-4BE7-94E9-0A28B9CC7D0D}"/>
    <cellStyle name="Normal 4 5" xfId="136" xr:uid="{D1EE0093-E62F-4E24-9EE4-2D104259FCD3}"/>
    <cellStyle name="Normal 5" xfId="105" xr:uid="{F908222C-F8B1-4C10-B69B-60631058DAB1}"/>
    <cellStyle name="Normal 5 2" xfId="106" xr:uid="{D5F14B31-F713-4689-B472-A6B5596217AA}"/>
    <cellStyle name="Normal 6" xfId="107" xr:uid="{66B3BB9A-35CC-46EE-B171-49ACB99FE56F}"/>
    <cellStyle name="Normal 6 2" xfId="108" xr:uid="{57EEE1E8-86F0-431E-8E9F-6ACAA70A01ED}"/>
    <cellStyle name="Normal 7" xfId="109" xr:uid="{9A47696E-E06F-4F72-A0FB-EA12BD986A84}"/>
    <cellStyle name="Normal 7 2" xfId="110" xr:uid="{BA4A1CEF-C1D2-4E84-9EC8-E9A999B69B81}"/>
    <cellStyle name="Normal 8" xfId="111" xr:uid="{E4230CF1-9808-42E3-B397-1E43181F465C}"/>
    <cellStyle name="Normal 8 2" xfId="112" xr:uid="{2BDDEEAE-C4A1-4015-A7B6-B4891BC9F704}"/>
    <cellStyle name="Normal 8 3" xfId="113" xr:uid="{F4202E7B-726D-437B-B23B-76DAC8603C99}"/>
    <cellStyle name="Normal 8 4" xfId="114" xr:uid="{C27DFE98-C7BF-4DBE-8390-60087DC39874}"/>
    <cellStyle name="Normal 8 5" xfId="134" xr:uid="{27FBC353-1343-4934-9FD4-D2454E454C98}"/>
    <cellStyle name="Normal 9" xfId="115" xr:uid="{0C101033-5FD3-4A63-B961-89F736E50796}"/>
    <cellStyle name="Normal 9 2" xfId="116" xr:uid="{480A13C3-7839-4904-A1E8-8B7C34C4F8BB}"/>
    <cellStyle name="Normal 9 3" xfId="117" xr:uid="{E53C2957-AFE3-4BA1-85AF-EFE3CB1C97A8}"/>
    <cellStyle name="Notiz" xfId="31" builtinId="10" customBuiltin="1"/>
    <cellStyle name="Notiz 2" xfId="168" xr:uid="{BE3D773C-706F-4C59-9C00-BF52B9F91B5A}"/>
    <cellStyle name="Percent 2" xfId="119" xr:uid="{D8415224-40E5-4E15-919A-91C683041EFA}"/>
    <cellStyle name="Percent 3" xfId="120" xr:uid="{0F02845C-7509-45FC-848D-8A5824C2542B}"/>
    <cellStyle name="Percent 3 2" xfId="121" xr:uid="{B3B94294-BCF3-4576-AB3F-ADEDA50037BC}"/>
    <cellStyle name="Percent 4" xfId="122" xr:uid="{DC6682C2-9010-47F2-BAE5-58C7B520C214}"/>
    <cellStyle name="Percent 4 2" xfId="123" xr:uid="{D445BE0E-5065-4551-9D56-57C7A806D755}"/>
    <cellStyle name="Percent 5" xfId="124" xr:uid="{708EDA30-15C4-42BC-BB31-02A288A1F0FB}"/>
    <cellStyle name="Percent 5 2" xfId="125" xr:uid="{244B81A5-F4CE-4E7F-8FF4-8938E049B0C7}"/>
    <cellStyle name="Percent 6" xfId="126" xr:uid="{E8CDA51C-AEEA-4F44-B314-E71C892BE63B}"/>
    <cellStyle name="Percent 6 2" xfId="127" xr:uid="{64F339BD-FED7-46A6-86FD-FE6D60B2F896}"/>
    <cellStyle name="Percent 6 3" xfId="128" xr:uid="{B25FAC79-714E-4A20-B5C1-12863094E070}"/>
    <cellStyle name="Percent 7" xfId="129" xr:uid="{486BAB08-3737-4A2B-B3E9-CDDD777298ED}"/>
    <cellStyle name="Prozent" xfId="1" builtinId="5"/>
    <cellStyle name="Prozent 2" xfId="118" xr:uid="{1AFF16ED-B514-4CB7-A5EF-2964DEB95CED}"/>
    <cellStyle name="Prozent 3" xfId="133" xr:uid="{67E46631-9A1B-420A-B283-371A5A2CB250}"/>
    <cellStyle name="Schlecht" xfId="24" builtinId="27" customBuiltin="1"/>
    <cellStyle name="Standard" xfId="0" builtinId="0"/>
    <cellStyle name="Standard 2" xfId="53" xr:uid="{4148E37D-566B-4F58-8A08-22C1A7EDF2D8}"/>
    <cellStyle name="Standard 2 2" xfId="167" xr:uid="{71B0448D-C307-4F7C-9FD5-A2F3BB2C6FA5}"/>
    <cellStyle name="Standard 2 2 2" xfId="178" xr:uid="{EBE45934-4182-4FDC-BDC1-26137BC8E3F3}"/>
    <cellStyle name="Standard 2 3" xfId="164" xr:uid="{7C8DDD77-0322-470E-BD98-6178A01D9AFF}"/>
    <cellStyle name="Standard 2 4" xfId="147" xr:uid="{0583AD4B-2033-48C2-A6A4-AC57C2FC1386}"/>
    <cellStyle name="Standard 3" xfId="143" xr:uid="{79C8C712-48E6-4325-A4E5-A94EC1F1EBD4}"/>
    <cellStyle name="Standard 3 2" xfId="166" xr:uid="{BBC1BEDF-FC8E-490E-9CB0-A69976235BBE}"/>
    <cellStyle name="Standard 3 2 2" xfId="179" xr:uid="{CB2F94DF-17C9-4685-B7B2-B47838B0B949}"/>
    <cellStyle name="Standard 4" xfId="144" xr:uid="{7AF89A94-8BF5-4263-979F-A6306C15D3F5}"/>
    <cellStyle name="Standard 4 2" xfId="161" xr:uid="{32020D1B-10D4-448A-A7B6-0DE296FE4E0E}"/>
    <cellStyle name="Standard 5" xfId="177" xr:uid="{902EC9A9-3FCF-494C-84E9-35C5181B9E63}"/>
    <cellStyle name="Überschrift" xfId="18" builtinId="15" customBuiltin="1"/>
    <cellStyle name="Überschrift 1" xfId="19" builtinId="16" customBuiltin="1"/>
    <cellStyle name="Überschrift 1 2" xfId="141" xr:uid="{E976DF47-3A47-4DFA-9EAA-C2EA6FB9B2DD}"/>
    <cellStyle name="Überschrift 2" xfId="20" builtinId="17" customBuiltin="1"/>
    <cellStyle name="Überschrift 2 2" xfId="140" xr:uid="{AF74944D-E36F-4CA3-A48B-148129BAB502}"/>
    <cellStyle name="Überschrift 3" xfId="21" builtinId="18" customBuiltin="1"/>
    <cellStyle name="Überschrift 3 2" xfId="139" xr:uid="{03DF1DA9-F58E-4403-A158-4E0F941001B1}"/>
    <cellStyle name="Überschrift 4" xfId="22" builtinId="19" customBuiltin="1"/>
    <cellStyle name="Überschrift 5" xfId="159" xr:uid="{64425E69-54BB-4264-B522-D890967C657F}"/>
    <cellStyle name="Verknüpfte Zelle" xfId="28" builtinId="24" customBuiltin="1"/>
    <cellStyle name="Währung 2" xfId="165" xr:uid="{D63E8295-661C-4DD3-8AB0-7243B3430492}"/>
    <cellStyle name="Warnender Text" xfId="30" builtinId="11" customBuiltin="1"/>
    <cellStyle name="Zelle überprüfen" xfId="29" builtinId="23" customBuiltin="1"/>
  </cellStyles>
  <dxfs count="2"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Table Style 1" pivot="0" count="2" xr9:uid="{A8198BE0-7EDE-4D78-BA25-EBD3A883C9B0}"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E75-70D6-4C19-A2E6-F011C88AB99E}">
  <dimension ref="A4:W25"/>
  <sheetViews>
    <sheetView workbookViewId="0">
      <selection activeCell="M12" sqref="M12"/>
    </sheetView>
  </sheetViews>
  <sheetFormatPr baseColWidth="10" defaultColWidth="9.140625" defaultRowHeight="15" x14ac:dyDescent="0.25"/>
  <cols>
    <col min="12" max="12" width="7.85546875" bestFit="1" customWidth="1"/>
  </cols>
  <sheetData>
    <row r="4" spans="2:23" x14ac:dyDescent="0.25">
      <c r="B4" t="s">
        <v>0</v>
      </c>
      <c r="D4" t="s">
        <v>1</v>
      </c>
      <c r="E4" t="s">
        <v>2</v>
      </c>
      <c r="F4" t="s">
        <v>3</v>
      </c>
      <c r="G4" t="s">
        <v>4</v>
      </c>
    </row>
    <row r="5" spans="2:23" x14ac:dyDescent="0.25">
      <c r="C5" s="37">
        <v>2025</v>
      </c>
      <c r="D5" s="37">
        <v>4.25529007</v>
      </c>
      <c r="E5" s="38">
        <v>2874</v>
      </c>
      <c r="F5" s="37">
        <v>5.9709779999999997</v>
      </c>
      <c r="G5" s="37">
        <v>17.155007999999999</v>
      </c>
      <c r="I5" s="37">
        <v>10.7184539</v>
      </c>
      <c r="J5" s="37">
        <v>8.8617450000000009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3"/>
      <c r="W5" s="13"/>
    </row>
    <row r="6" spans="2:23" x14ac:dyDescent="0.25">
      <c r="C6" s="37">
        <v>2030</v>
      </c>
      <c r="D6" s="39">
        <v>3.2319999999999993</v>
      </c>
      <c r="E6" s="40">
        <v>3.1009999999999991</v>
      </c>
      <c r="F6" s="41">
        <v>8.1620000000000061</v>
      </c>
      <c r="G6" s="42">
        <v>17.548999999999978</v>
      </c>
      <c r="I6" s="37">
        <v>9.3305425999999994</v>
      </c>
      <c r="J6" s="37">
        <v>7.95784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3"/>
      <c r="W6" s="13"/>
    </row>
    <row r="7" spans="2:23" x14ac:dyDescent="0.25">
      <c r="C7" s="37">
        <v>2035</v>
      </c>
      <c r="D7" s="39">
        <v>3.7390000000000043</v>
      </c>
      <c r="E7" s="40">
        <v>3.6844999999999857</v>
      </c>
      <c r="F7" s="41">
        <v>8.6140000000000043</v>
      </c>
      <c r="G7" s="42">
        <v>20.59050000000002</v>
      </c>
      <c r="I7" s="37">
        <v>10.6019231</v>
      </c>
      <c r="J7" s="37">
        <v>9.6250350000000005</v>
      </c>
      <c r="L7" s="7"/>
      <c r="M7" s="11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2:23" x14ac:dyDescent="0.25">
      <c r="C8" s="37">
        <v>2040</v>
      </c>
      <c r="D8" s="39">
        <v>4.2459999999999809</v>
      </c>
      <c r="E8" s="40">
        <v>4.2679999999999723</v>
      </c>
      <c r="F8" s="41">
        <v>9.0660000000000025</v>
      </c>
      <c r="G8" s="42">
        <v>23.631999999999834</v>
      </c>
      <c r="I8" s="37">
        <v>10.446538</v>
      </c>
      <c r="J8" s="37">
        <v>9.1677859999999995</v>
      </c>
      <c r="L8" s="11"/>
      <c r="M8" s="11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2:23" x14ac:dyDescent="0.25">
      <c r="C9" s="37">
        <v>2045</v>
      </c>
      <c r="D9" s="39">
        <v>4.7529999999999859</v>
      </c>
      <c r="E9" s="40">
        <v>4.8514999999999873</v>
      </c>
      <c r="F9" s="41">
        <v>9.5180000000000007</v>
      </c>
      <c r="G9" s="42">
        <v>26.673499999999876</v>
      </c>
      <c r="I9" s="37">
        <v>8.8163437899999995</v>
      </c>
      <c r="J9" s="37">
        <v>7.2803950000000004</v>
      </c>
      <c r="L9" s="11"/>
      <c r="M9" s="11"/>
      <c r="N9" s="11"/>
      <c r="O9" s="11"/>
      <c r="P9" s="8"/>
      <c r="Q9" s="8"/>
      <c r="R9" s="8"/>
      <c r="S9" s="8"/>
      <c r="T9" s="8"/>
    </row>
    <row r="10" spans="2:23" x14ac:dyDescent="0.25">
      <c r="C10" s="37">
        <v>2050</v>
      </c>
      <c r="D10" s="39">
        <v>5.2599999999999909</v>
      </c>
      <c r="E10" s="40">
        <v>5.4349999999999739</v>
      </c>
      <c r="F10" s="41">
        <v>9.9699999999999989</v>
      </c>
      <c r="G10" s="42">
        <v>29.714999999999918</v>
      </c>
      <c r="I10" s="37">
        <v>7.05801853</v>
      </c>
      <c r="J10" s="37">
        <v>6.4057500000000003</v>
      </c>
      <c r="L10" s="11"/>
      <c r="M10" s="11"/>
      <c r="N10" s="37"/>
      <c r="O10" s="37"/>
      <c r="P10" s="37"/>
      <c r="Q10" s="37"/>
    </row>
    <row r="11" spans="2:23" x14ac:dyDescent="0.25">
      <c r="C11">
        <v>2021</v>
      </c>
      <c r="D11" s="17">
        <v>5.0228640000000002</v>
      </c>
      <c r="E11" s="31">
        <v>1.7103999999999999</v>
      </c>
      <c r="F11" s="37">
        <v>6.29442244</v>
      </c>
      <c r="G11" s="37">
        <v>14.4943063</v>
      </c>
      <c r="I11" s="37">
        <v>14.4943063</v>
      </c>
      <c r="J11" s="37">
        <v>26.458824</v>
      </c>
      <c r="L11" s="11"/>
      <c r="M11" s="11"/>
      <c r="N11" s="11"/>
      <c r="O11" s="37"/>
      <c r="P11" s="37"/>
      <c r="Q11" s="37"/>
    </row>
    <row r="12" spans="2:23" x14ac:dyDescent="0.25">
      <c r="C12">
        <v>2022</v>
      </c>
      <c r="D12" s="17">
        <v>5.1063330000000002</v>
      </c>
      <c r="E12" s="31">
        <v>1.8016000000000001</v>
      </c>
      <c r="F12" s="37">
        <v>7.9076747100000002</v>
      </c>
      <c r="G12" s="37">
        <v>20.073286899999999</v>
      </c>
      <c r="I12" s="37">
        <v>20.073286899999999</v>
      </c>
      <c r="J12" s="37">
        <v>21.518867</v>
      </c>
      <c r="L12" s="11"/>
      <c r="M12" s="11"/>
      <c r="N12" s="11"/>
      <c r="O12" s="11"/>
    </row>
    <row r="13" spans="2:23" x14ac:dyDescent="0.25">
      <c r="C13">
        <v>2023</v>
      </c>
      <c r="D13" s="17">
        <v>4.7392697139999997</v>
      </c>
      <c r="E13" s="31">
        <v>2.2416</v>
      </c>
      <c r="F13" s="37">
        <v>7.9151695889999996</v>
      </c>
      <c r="G13" s="37">
        <v>10.88664522</v>
      </c>
      <c r="I13" s="37">
        <v>10.88664522</v>
      </c>
      <c r="J13" s="37">
        <v>8.1382399999999997</v>
      </c>
      <c r="L13" s="11"/>
      <c r="M13" s="11"/>
      <c r="N13" s="11"/>
      <c r="O13" s="11"/>
    </row>
    <row r="14" spans="2:23" x14ac:dyDescent="0.25">
      <c r="C14">
        <v>2024</v>
      </c>
      <c r="D14" s="17">
        <v>4.25529007</v>
      </c>
      <c r="E14" s="31">
        <v>2.6816</v>
      </c>
      <c r="F14" s="37">
        <v>5.9709779999999997</v>
      </c>
      <c r="G14" s="37">
        <v>17.155007999999999</v>
      </c>
      <c r="I14" s="37">
        <v>17.155007999999999</v>
      </c>
      <c r="J14" s="37">
        <v>6.876792</v>
      </c>
      <c r="L14" s="11"/>
      <c r="M14" s="11"/>
      <c r="N14" s="11"/>
      <c r="O14" s="11"/>
    </row>
    <row r="15" spans="2:23" x14ac:dyDescent="0.25">
      <c r="L15" s="11"/>
      <c r="M15" s="11"/>
      <c r="N15" s="11"/>
      <c r="O15" s="11"/>
    </row>
    <row r="17" spans="1:15" x14ac:dyDescent="0.25">
      <c r="L17" s="11"/>
      <c r="M17" s="11"/>
      <c r="N17" s="11"/>
      <c r="O17" s="11"/>
    </row>
    <row r="18" spans="1:15" x14ac:dyDescent="0.25">
      <c r="L18" s="11"/>
      <c r="M18" s="11"/>
      <c r="N18" s="11"/>
      <c r="O18" s="11"/>
    </row>
    <row r="19" spans="1:15" x14ac:dyDescent="0.25">
      <c r="L19" s="11"/>
      <c r="M19" s="11"/>
      <c r="N19" s="11"/>
      <c r="O19" s="11"/>
    </row>
    <row r="20" spans="1:15" x14ac:dyDescent="0.25">
      <c r="L20" s="11"/>
      <c r="M20" s="11"/>
      <c r="N20" s="11"/>
      <c r="O20" s="11"/>
    </row>
    <row r="21" spans="1:15" x14ac:dyDescent="0.25">
      <c r="A21" t="s">
        <v>30</v>
      </c>
      <c r="L21" s="11"/>
      <c r="M21" s="11"/>
      <c r="N21" s="11"/>
      <c r="O21" s="11"/>
    </row>
    <row r="22" spans="1:15" x14ac:dyDescent="0.25">
      <c r="B22" t="s">
        <v>2</v>
      </c>
      <c r="C22">
        <v>0.38300000000000001</v>
      </c>
      <c r="L22" s="11"/>
      <c r="M22" s="11"/>
      <c r="N22" s="11"/>
      <c r="O22" s="11"/>
    </row>
    <row r="23" spans="1:15" x14ac:dyDescent="0.25">
      <c r="B23" t="s">
        <v>3</v>
      </c>
      <c r="C23">
        <v>0.33500000000000002</v>
      </c>
      <c r="L23" s="11"/>
      <c r="M23" s="11"/>
      <c r="N23" s="11"/>
      <c r="O23" s="11"/>
    </row>
    <row r="24" spans="1:15" x14ac:dyDescent="0.25">
      <c r="B24" t="s">
        <v>4</v>
      </c>
      <c r="C24">
        <v>0.20100000000000001</v>
      </c>
      <c r="L24" s="11"/>
      <c r="M24" s="11"/>
      <c r="N24" s="11"/>
      <c r="O24" s="11"/>
    </row>
    <row r="25" spans="1:15" x14ac:dyDescent="0.25">
      <c r="L25" s="11"/>
      <c r="M25" s="11"/>
      <c r="N25" s="11"/>
      <c r="O2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AEC9-DD1D-41D4-AC07-D33C8D8DB1ED}">
  <dimension ref="A4:I18"/>
  <sheetViews>
    <sheetView tabSelected="1" workbookViewId="0">
      <selection activeCell="G22" sqref="G22"/>
    </sheetView>
  </sheetViews>
  <sheetFormatPr baseColWidth="10" defaultColWidth="9.140625" defaultRowHeight="15" x14ac:dyDescent="0.25"/>
  <sheetData>
    <row r="4" spans="1:9" x14ac:dyDescent="0.25">
      <c r="A4" t="s">
        <v>0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B5" s="37">
        <v>2025</v>
      </c>
      <c r="C5">
        <v>0</v>
      </c>
      <c r="D5">
        <v>0</v>
      </c>
      <c r="E5">
        <v>0</v>
      </c>
      <c r="F5" s="43">
        <v>21.240000000000002</v>
      </c>
      <c r="G5">
        <v>0</v>
      </c>
      <c r="H5">
        <v>0</v>
      </c>
      <c r="I5">
        <v>0</v>
      </c>
    </row>
    <row r="6" spans="1:9" x14ac:dyDescent="0.25">
      <c r="B6" s="37">
        <v>2030</v>
      </c>
      <c r="C6">
        <v>0</v>
      </c>
      <c r="D6">
        <v>0</v>
      </c>
      <c r="E6">
        <v>0</v>
      </c>
      <c r="F6" s="43">
        <v>21.240000000000002</v>
      </c>
      <c r="G6">
        <v>0</v>
      </c>
      <c r="H6">
        <v>0</v>
      </c>
      <c r="I6">
        <v>0</v>
      </c>
    </row>
    <row r="7" spans="1:9" x14ac:dyDescent="0.25">
      <c r="B7" s="37">
        <v>2035</v>
      </c>
      <c r="C7">
        <v>0</v>
      </c>
      <c r="D7">
        <v>0</v>
      </c>
      <c r="E7">
        <v>0</v>
      </c>
      <c r="F7" s="43">
        <v>21.240000000000002</v>
      </c>
      <c r="G7">
        <v>0</v>
      </c>
      <c r="H7">
        <v>0</v>
      </c>
      <c r="I7">
        <v>0</v>
      </c>
    </row>
    <row r="8" spans="1:9" x14ac:dyDescent="0.25">
      <c r="B8" s="37">
        <v>2040</v>
      </c>
      <c r="C8">
        <v>0</v>
      </c>
      <c r="D8">
        <v>0</v>
      </c>
      <c r="E8">
        <v>0</v>
      </c>
      <c r="F8" s="43">
        <v>21.240000000000002</v>
      </c>
      <c r="G8">
        <v>0</v>
      </c>
      <c r="H8">
        <v>0</v>
      </c>
      <c r="I8">
        <v>0</v>
      </c>
    </row>
    <row r="9" spans="1:9" x14ac:dyDescent="0.25">
      <c r="B9" s="37">
        <v>2045</v>
      </c>
      <c r="C9">
        <v>0</v>
      </c>
      <c r="D9">
        <v>0</v>
      </c>
      <c r="E9">
        <v>0</v>
      </c>
      <c r="F9" s="43">
        <v>21.240000000000002</v>
      </c>
      <c r="G9">
        <v>0</v>
      </c>
      <c r="H9">
        <v>0</v>
      </c>
      <c r="I9">
        <v>0</v>
      </c>
    </row>
    <row r="10" spans="1:9" x14ac:dyDescent="0.25">
      <c r="B10" s="37">
        <v>2050</v>
      </c>
      <c r="C10">
        <v>0</v>
      </c>
      <c r="D10">
        <v>0</v>
      </c>
      <c r="E10">
        <v>0</v>
      </c>
      <c r="F10" s="43">
        <v>21.240000000000002</v>
      </c>
      <c r="G10">
        <v>0</v>
      </c>
      <c r="H10">
        <v>0</v>
      </c>
      <c r="I10">
        <v>0</v>
      </c>
    </row>
    <row r="11" spans="1:9" x14ac:dyDescent="0.25">
      <c r="B11">
        <v>2021</v>
      </c>
      <c r="C11">
        <v>0</v>
      </c>
      <c r="D11">
        <v>0</v>
      </c>
      <c r="E11">
        <v>0</v>
      </c>
      <c r="F11" s="43">
        <v>21.240000000000002</v>
      </c>
      <c r="G11">
        <v>0</v>
      </c>
      <c r="H11">
        <v>0</v>
      </c>
      <c r="I11">
        <v>0</v>
      </c>
    </row>
    <row r="12" spans="1:9" x14ac:dyDescent="0.25">
      <c r="B12">
        <v>2022</v>
      </c>
      <c r="C12">
        <v>0</v>
      </c>
      <c r="D12">
        <v>0</v>
      </c>
      <c r="E12">
        <v>0</v>
      </c>
      <c r="F12" s="43">
        <v>21.240000000000002</v>
      </c>
      <c r="G12">
        <v>0</v>
      </c>
      <c r="H12">
        <v>0</v>
      </c>
      <c r="I12">
        <v>0</v>
      </c>
    </row>
    <row r="13" spans="1:9" x14ac:dyDescent="0.25">
      <c r="B13">
        <v>2023</v>
      </c>
      <c r="C13">
        <v>0</v>
      </c>
      <c r="D13">
        <v>0</v>
      </c>
      <c r="E13">
        <v>0</v>
      </c>
      <c r="F13" s="43">
        <v>21.240000000000002</v>
      </c>
      <c r="G13">
        <v>0</v>
      </c>
      <c r="H13">
        <v>0</v>
      </c>
      <c r="I13">
        <v>0</v>
      </c>
    </row>
    <row r="14" spans="1:9" x14ac:dyDescent="0.25">
      <c r="B14">
        <v>2024</v>
      </c>
      <c r="C14" s="13">
        <v>0</v>
      </c>
      <c r="D14" s="13">
        <v>0</v>
      </c>
      <c r="E14" s="13">
        <v>0</v>
      </c>
      <c r="F14" s="43">
        <v>21.240000000000002</v>
      </c>
      <c r="G14" s="13">
        <v>0</v>
      </c>
      <c r="H14" s="13">
        <v>0</v>
      </c>
      <c r="I14" s="13">
        <v>0</v>
      </c>
    </row>
    <row r="16" spans="1:9" x14ac:dyDescent="0.25">
      <c r="A16" t="s">
        <v>30</v>
      </c>
    </row>
    <row r="17" spans="2:3" x14ac:dyDescent="0.25">
      <c r="B17" t="s">
        <v>8</v>
      </c>
      <c r="C17">
        <v>0</v>
      </c>
    </row>
    <row r="18" spans="2:3" x14ac:dyDescent="0.25">
      <c r="B18" t="s">
        <v>11</v>
      </c>
      <c r="C18">
        <v>0.23899999999999999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A941-8ECB-48AC-B1FE-4E561D25CAD6}">
  <dimension ref="A4:Q27"/>
  <sheetViews>
    <sheetView workbookViewId="0">
      <selection activeCell="E35" sqref="E35"/>
    </sheetView>
  </sheetViews>
  <sheetFormatPr baseColWidth="10" defaultColWidth="9.140625" defaultRowHeight="15" x14ac:dyDescent="0.25"/>
  <cols>
    <col min="3" max="3" width="9.7109375" bestFit="1" customWidth="1"/>
    <col min="5" max="5" width="12.28515625" bestFit="1" customWidth="1"/>
    <col min="6" max="6" width="10.42578125" bestFit="1" customWidth="1"/>
    <col min="7" max="7" width="23.85546875" bestFit="1" customWidth="1"/>
    <col min="8" max="8" width="14.28515625" bestFit="1" customWidth="1"/>
    <col min="9" max="9" width="23.85546875" bestFit="1" customWidth="1"/>
    <col min="10" max="10" width="14.28515625" bestFit="1" customWidth="1"/>
  </cols>
  <sheetData>
    <row r="4" spans="1:17" x14ac:dyDescent="0.25">
      <c r="C4" t="s">
        <v>23</v>
      </c>
      <c r="D4" t="s">
        <v>24</v>
      </c>
      <c r="E4" t="s">
        <v>25</v>
      </c>
      <c r="F4" t="s">
        <v>38</v>
      </c>
      <c r="G4" t="s">
        <v>27</v>
      </c>
      <c r="H4" t="s">
        <v>28</v>
      </c>
    </row>
    <row r="5" spans="1:17" x14ac:dyDescent="0.25">
      <c r="B5" t="s">
        <v>12</v>
      </c>
      <c r="C5" s="3">
        <v>0.33300000000000002</v>
      </c>
      <c r="D5" s="1">
        <v>0.5</v>
      </c>
      <c r="E5" s="5">
        <v>60</v>
      </c>
      <c r="F5" s="5">
        <v>100</v>
      </c>
      <c r="G5">
        <v>16.7</v>
      </c>
      <c r="H5">
        <v>50</v>
      </c>
      <c r="M5" t="s">
        <v>12</v>
      </c>
      <c r="N5" t="s">
        <v>1</v>
      </c>
    </row>
    <row r="6" spans="1:17" x14ac:dyDescent="0.25">
      <c r="B6" t="s">
        <v>2</v>
      </c>
      <c r="C6" s="3">
        <v>0.439</v>
      </c>
      <c r="D6" s="1">
        <v>0.4</v>
      </c>
      <c r="E6" s="5">
        <v>40</v>
      </c>
      <c r="F6" s="5">
        <v>60</v>
      </c>
      <c r="G6">
        <v>5.9</v>
      </c>
      <c r="H6">
        <v>49</v>
      </c>
      <c r="M6" t="s">
        <v>2</v>
      </c>
      <c r="N6" t="s">
        <v>2</v>
      </c>
    </row>
    <row r="7" spans="1:17" x14ac:dyDescent="0.25">
      <c r="B7" t="s">
        <v>3</v>
      </c>
      <c r="C7" s="3">
        <v>0.46200000000000002</v>
      </c>
      <c r="D7" s="1">
        <v>0.38</v>
      </c>
      <c r="E7" s="5">
        <v>40</v>
      </c>
      <c r="F7" s="5">
        <v>50</v>
      </c>
      <c r="G7">
        <v>5.9</v>
      </c>
      <c r="H7">
        <v>49</v>
      </c>
      <c r="M7" t="s">
        <v>3</v>
      </c>
      <c r="N7" t="s">
        <v>3</v>
      </c>
    </row>
    <row r="8" spans="1:17" x14ac:dyDescent="0.25">
      <c r="B8" t="s">
        <v>13</v>
      </c>
      <c r="C8" s="3">
        <v>0.60499999999999998</v>
      </c>
      <c r="D8" s="1">
        <v>0.45</v>
      </c>
      <c r="E8" s="5">
        <v>30</v>
      </c>
      <c r="F8" s="5">
        <v>20</v>
      </c>
      <c r="G8">
        <v>2.8</v>
      </c>
      <c r="H8">
        <v>60</v>
      </c>
      <c r="M8" t="s">
        <v>13</v>
      </c>
      <c r="N8" t="s">
        <v>4</v>
      </c>
    </row>
    <row r="9" spans="1:17" x14ac:dyDescent="0.25">
      <c r="B9" t="s">
        <v>14</v>
      </c>
      <c r="C9" s="4">
        <v>0.41199999999999998</v>
      </c>
      <c r="D9" s="2">
        <v>0.2</v>
      </c>
      <c r="E9" s="5">
        <v>30</v>
      </c>
      <c r="F9" s="5">
        <v>15</v>
      </c>
      <c r="G9">
        <v>0.1</v>
      </c>
      <c r="H9">
        <v>24</v>
      </c>
      <c r="M9" t="s">
        <v>14</v>
      </c>
      <c r="N9" t="s">
        <v>4</v>
      </c>
    </row>
    <row r="11" spans="1:17" x14ac:dyDescent="0.25">
      <c r="C11" s="4"/>
    </row>
    <row r="12" spans="1:17" x14ac:dyDescent="0.25">
      <c r="A12" t="s">
        <v>26</v>
      </c>
      <c r="C12" s="37">
        <v>2025</v>
      </c>
      <c r="D12" s="37">
        <v>2030</v>
      </c>
      <c r="E12" s="37">
        <v>2035</v>
      </c>
      <c r="F12" s="37">
        <v>2040</v>
      </c>
      <c r="G12" s="37">
        <v>2045</v>
      </c>
      <c r="H12" s="37">
        <v>2050</v>
      </c>
      <c r="I12">
        <v>2021</v>
      </c>
      <c r="J12">
        <v>2022</v>
      </c>
      <c r="K12">
        <v>2023</v>
      </c>
      <c r="L12">
        <v>2024</v>
      </c>
    </row>
    <row r="13" spans="1:17" x14ac:dyDescent="0.25">
      <c r="B13" t="s">
        <v>12</v>
      </c>
      <c r="C13" s="37">
        <v>9103.7199999999721</v>
      </c>
      <c r="D13" s="37">
        <v>9103.7199999999721</v>
      </c>
      <c r="E13" s="37">
        <v>9103.7199999999721</v>
      </c>
      <c r="F13" s="37">
        <v>9103.7199999999721</v>
      </c>
      <c r="G13" s="37">
        <v>9103.7199999999721</v>
      </c>
      <c r="H13" s="37">
        <v>9103.7199999999721</v>
      </c>
      <c r="I13" s="21">
        <v>7915.63</v>
      </c>
      <c r="J13" s="21">
        <v>8311.66</v>
      </c>
      <c r="K13" s="21">
        <v>8707.69</v>
      </c>
      <c r="L13" s="21">
        <v>9103.7199999999993</v>
      </c>
      <c r="P13" s="24"/>
      <c r="Q13" s="24"/>
    </row>
    <row r="14" spans="1:17" x14ac:dyDescent="0.25">
      <c r="B14" t="s">
        <v>2</v>
      </c>
      <c r="C14" s="37">
        <v>3199.1199999999953</v>
      </c>
      <c r="D14" s="37">
        <v>3199.1199999999953</v>
      </c>
      <c r="E14" s="37">
        <v>3199.1199999999953</v>
      </c>
      <c r="F14" s="37">
        <v>3199.1199999999953</v>
      </c>
      <c r="G14" s="37">
        <v>3199.1199999999953</v>
      </c>
      <c r="H14" s="37">
        <v>3199.1199999999953</v>
      </c>
      <c r="I14" s="26">
        <v>2746.4799999999814</v>
      </c>
      <c r="J14" s="26">
        <v>2897.359999999986</v>
      </c>
      <c r="K14" s="26">
        <v>3048.2399999999907</v>
      </c>
      <c r="L14" s="26">
        <v>3199.1199999999953</v>
      </c>
      <c r="P14" s="24"/>
      <c r="Q14" s="24"/>
    </row>
    <row r="15" spans="1:17" x14ac:dyDescent="0.25">
      <c r="B15" t="s">
        <v>3</v>
      </c>
      <c r="C15" s="37">
        <v>3828.4799999999814</v>
      </c>
      <c r="D15" s="37">
        <v>3828.4799999999814</v>
      </c>
      <c r="E15" s="37">
        <v>3828.4799999999814</v>
      </c>
      <c r="F15" s="37">
        <v>3828.4799999999814</v>
      </c>
      <c r="G15" s="37">
        <v>3828.4799999999814</v>
      </c>
      <c r="H15" s="37">
        <v>3828.4799999999814</v>
      </c>
      <c r="I15" s="28">
        <v>3631.5449999999837</v>
      </c>
      <c r="J15" s="28">
        <v>3697.1900000000023</v>
      </c>
      <c r="K15" s="28">
        <v>3762.8349999999919</v>
      </c>
      <c r="L15" s="28">
        <v>3828.4799999999814</v>
      </c>
      <c r="P15" s="24"/>
      <c r="Q15" s="24"/>
    </row>
    <row r="16" spans="1:17" x14ac:dyDescent="0.25">
      <c r="B16" t="s">
        <v>13</v>
      </c>
      <c r="C16" s="37">
        <v>970.94640000000072</v>
      </c>
      <c r="D16" s="37">
        <v>970.94640000000072</v>
      </c>
      <c r="E16" s="37">
        <v>970.94640000000072</v>
      </c>
      <c r="F16" s="37">
        <v>970.94640000000072</v>
      </c>
      <c r="G16" s="37">
        <v>970.94640000000072</v>
      </c>
      <c r="H16" s="37">
        <v>970.94640000000072</v>
      </c>
      <c r="I16" s="23">
        <v>943.47810000000027</v>
      </c>
      <c r="J16" s="23">
        <v>952.63420000000042</v>
      </c>
      <c r="K16" s="23">
        <v>961.79030000000057</v>
      </c>
      <c r="L16" s="23">
        <v>970.94640000000072</v>
      </c>
      <c r="P16" s="24"/>
      <c r="Q16" s="24"/>
    </row>
    <row r="17" spans="1:17" x14ac:dyDescent="0.25">
      <c r="B17" t="s">
        <v>14</v>
      </c>
      <c r="C17" s="37">
        <v>801.85599999999977</v>
      </c>
      <c r="D17" s="37">
        <v>801.85599999999977</v>
      </c>
      <c r="E17" s="37">
        <v>801.85599999999977</v>
      </c>
      <c r="F17" s="37">
        <v>801.85599999999977</v>
      </c>
      <c r="G17" s="37">
        <v>801.85599999999977</v>
      </c>
      <c r="H17" s="37">
        <v>801.85599999999977</v>
      </c>
      <c r="I17" s="24">
        <v>745.99899999999616</v>
      </c>
      <c r="J17" s="24">
        <v>764.61800000000221</v>
      </c>
      <c r="K17" s="24">
        <v>783.23700000000099</v>
      </c>
      <c r="L17" s="24">
        <v>801.85599999999977</v>
      </c>
      <c r="P17" s="24"/>
      <c r="Q17" s="24"/>
    </row>
    <row r="18" spans="1:17" x14ac:dyDescent="0.25">
      <c r="C18" s="37"/>
      <c r="D18" s="37"/>
      <c r="E18" s="37"/>
      <c r="F18" s="37"/>
      <c r="G18" s="37"/>
      <c r="H18" s="37"/>
      <c r="P18" s="24"/>
      <c r="Q18" s="24"/>
    </row>
    <row r="19" spans="1:17" x14ac:dyDescent="0.25">
      <c r="A19" t="s">
        <v>37</v>
      </c>
      <c r="C19" s="37">
        <v>2025</v>
      </c>
      <c r="D19" s="37">
        <v>2030</v>
      </c>
      <c r="E19" s="37">
        <v>2035</v>
      </c>
      <c r="F19" s="37">
        <v>2040</v>
      </c>
      <c r="G19" s="37">
        <v>2045</v>
      </c>
      <c r="H19" s="37">
        <v>2050</v>
      </c>
      <c r="I19">
        <v>2021</v>
      </c>
      <c r="J19">
        <v>2022</v>
      </c>
      <c r="K19">
        <v>2023</v>
      </c>
      <c r="L19">
        <v>2024</v>
      </c>
      <c r="P19" s="24"/>
      <c r="Q19" s="24"/>
    </row>
    <row r="20" spans="1:17" x14ac:dyDescent="0.25">
      <c r="B20" t="s">
        <v>12</v>
      </c>
      <c r="C20" s="37">
        <v>126.41439999999966</v>
      </c>
      <c r="D20" s="37">
        <v>126.41439999999966</v>
      </c>
      <c r="E20" s="37">
        <v>126.41439999999966</v>
      </c>
      <c r="F20" s="37">
        <v>126.41439999999966</v>
      </c>
      <c r="G20" s="37">
        <v>126.41439999999966</v>
      </c>
      <c r="H20" s="37">
        <v>126.41439999999966</v>
      </c>
      <c r="I20" s="22">
        <v>115.5001000000002</v>
      </c>
      <c r="J20" s="22">
        <v>119.13819999999942</v>
      </c>
      <c r="K20" s="22">
        <v>122.77629999999954</v>
      </c>
      <c r="L20" s="22">
        <v>126.41439999999966</v>
      </c>
      <c r="P20" s="24"/>
      <c r="Q20" s="24"/>
    </row>
    <row r="21" spans="1:17" x14ac:dyDescent="0.25">
      <c r="B21" t="s">
        <v>2</v>
      </c>
      <c r="C21" s="37">
        <v>59.900000000000546</v>
      </c>
      <c r="D21" s="37">
        <v>59.900000000000546</v>
      </c>
      <c r="E21" s="37">
        <v>59.900000000000546</v>
      </c>
      <c r="F21" s="37">
        <v>59.900000000000546</v>
      </c>
      <c r="G21" s="37">
        <v>59.900000000000546</v>
      </c>
      <c r="H21" s="37">
        <v>59.900000000000546</v>
      </c>
      <c r="I21" s="27">
        <v>49.287500000000364</v>
      </c>
      <c r="J21" s="27">
        <v>52.824999999999818</v>
      </c>
      <c r="K21" s="27">
        <v>56.362500000000182</v>
      </c>
      <c r="L21" s="27">
        <v>59.900000000000546</v>
      </c>
      <c r="P21" s="24"/>
      <c r="Q21" s="24"/>
    </row>
    <row r="22" spans="1:17" x14ac:dyDescent="0.25">
      <c r="B22" t="s">
        <v>3</v>
      </c>
      <c r="C22" s="37">
        <v>58.740000000000236</v>
      </c>
      <c r="D22" s="37">
        <v>58.740000000000236</v>
      </c>
      <c r="E22" s="37">
        <v>58.740000000000236</v>
      </c>
      <c r="F22" s="37">
        <v>58.740000000000236</v>
      </c>
      <c r="G22" s="37">
        <v>58.740000000000236</v>
      </c>
      <c r="H22" s="37">
        <v>58.740000000000236</v>
      </c>
      <c r="I22" s="29">
        <v>53.722500000000309</v>
      </c>
      <c r="J22" s="29">
        <v>55.394999999999982</v>
      </c>
      <c r="K22" s="29">
        <v>57.067500000000109</v>
      </c>
      <c r="L22" s="29">
        <v>58.740000000000236</v>
      </c>
      <c r="P22" s="24"/>
      <c r="Q22" s="24"/>
    </row>
    <row r="23" spans="1:17" x14ac:dyDescent="0.25">
      <c r="B23" t="s">
        <v>13</v>
      </c>
      <c r="C23" s="37">
        <v>21.099199999999882</v>
      </c>
      <c r="D23" s="37">
        <v>21.099199999999882</v>
      </c>
      <c r="E23" s="37">
        <v>21.099199999999882</v>
      </c>
      <c r="F23" s="37">
        <v>21.099199999999882</v>
      </c>
      <c r="G23" s="37">
        <v>21.099199999999882</v>
      </c>
      <c r="H23" s="37">
        <v>21.099199999999882</v>
      </c>
      <c r="I23" s="23">
        <v>18.336800000000039</v>
      </c>
      <c r="J23" s="23">
        <v>19.257599999999911</v>
      </c>
      <c r="K23" s="23">
        <v>20.178400000000011</v>
      </c>
      <c r="L23" s="23">
        <v>21.099199999999882</v>
      </c>
      <c r="P23" s="22"/>
      <c r="Q23" s="14"/>
    </row>
    <row r="24" spans="1:17" x14ac:dyDescent="0.25">
      <c r="B24" t="s">
        <v>14</v>
      </c>
      <c r="C24" s="37">
        <v>12.23599999999999</v>
      </c>
      <c r="D24" s="37">
        <v>12.23599999999999</v>
      </c>
      <c r="E24" s="37">
        <v>12.23599999999999</v>
      </c>
      <c r="F24" s="37">
        <v>12.23599999999999</v>
      </c>
      <c r="G24" s="37">
        <v>12.23599999999999</v>
      </c>
      <c r="H24" s="37">
        <v>12.23599999999999</v>
      </c>
      <c r="I24" s="24">
        <v>11.916500000000013</v>
      </c>
      <c r="J24" s="24">
        <v>12.022999999999996</v>
      </c>
      <c r="K24" s="24">
        <v>12.129500000000007</v>
      </c>
      <c r="L24" s="24">
        <v>12.23599999999999</v>
      </c>
      <c r="P24" s="14"/>
      <c r="Q24" s="14"/>
    </row>
    <row r="25" spans="1:17" x14ac:dyDescent="0.25">
      <c r="P25" s="14"/>
      <c r="Q25" s="14"/>
    </row>
    <row r="26" spans="1:17" x14ac:dyDescent="0.25">
      <c r="P26" s="14"/>
      <c r="Q26" s="14"/>
    </row>
    <row r="27" spans="1:17" x14ac:dyDescent="0.25">
      <c r="P27" s="14"/>
      <c r="Q2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D0B7-B92C-4306-AF7A-9D3ACEBB12F2}">
  <dimension ref="C5:E9"/>
  <sheetViews>
    <sheetView workbookViewId="0">
      <selection activeCell="P17" sqref="P17"/>
    </sheetView>
  </sheetViews>
  <sheetFormatPr baseColWidth="10" defaultColWidth="9.140625" defaultRowHeight="15" x14ac:dyDescent="0.25"/>
  <cols>
    <col min="3" max="3" width="16.42578125" bestFit="1" customWidth="1"/>
    <col min="4" max="4" width="8.5703125" bestFit="1" customWidth="1"/>
  </cols>
  <sheetData>
    <row r="5" spans="3:5" x14ac:dyDescent="0.25">
      <c r="C5" t="s">
        <v>29</v>
      </c>
      <c r="D5" t="s">
        <v>12</v>
      </c>
      <c r="E5" s="3">
        <v>0.87</v>
      </c>
    </row>
    <row r="6" spans="3:5" x14ac:dyDescent="0.25">
      <c r="C6" t="s">
        <v>29</v>
      </c>
      <c r="D6" t="s">
        <v>2</v>
      </c>
      <c r="E6" s="3">
        <v>0.87</v>
      </c>
    </row>
    <row r="7" spans="3:5" x14ac:dyDescent="0.25">
      <c r="C7" t="s">
        <v>29</v>
      </c>
      <c r="D7" t="s">
        <v>3</v>
      </c>
      <c r="E7" s="3">
        <v>0.86</v>
      </c>
    </row>
    <row r="8" spans="3:5" x14ac:dyDescent="0.25">
      <c r="C8" t="s">
        <v>29</v>
      </c>
      <c r="D8" t="s">
        <v>13</v>
      </c>
      <c r="E8" s="3">
        <v>0.84</v>
      </c>
    </row>
    <row r="9" spans="3:5" x14ac:dyDescent="0.25">
      <c r="C9" t="s">
        <v>29</v>
      </c>
      <c r="D9" t="s">
        <v>14</v>
      </c>
      <c r="E9" s="3">
        <v>0.87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6775-C2C6-4090-A4FF-E8AB4F9F35A2}">
  <dimension ref="A4:X53"/>
  <sheetViews>
    <sheetView topLeftCell="A19" workbookViewId="0">
      <selection activeCell="K44" sqref="K44"/>
    </sheetView>
  </sheetViews>
  <sheetFormatPr baseColWidth="10" defaultColWidth="9.140625" defaultRowHeight="15" x14ac:dyDescent="0.25"/>
  <cols>
    <col min="2" max="2" width="13.85546875" bestFit="1" customWidth="1"/>
    <col min="5" max="5" width="12.28515625" bestFit="1" customWidth="1"/>
    <col min="8" max="8" width="11.42578125" bestFit="1" customWidth="1"/>
    <col min="9" max="9" width="11.140625" bestFit="1" customWidth="1"/>
    <col min="13" max="13" width="13.85546875" bestFit="1" customWidth="1"/>
    <col min="14" max="14" width="10" bestFit="1" customWidth="1"/>
  </cols>
  <sheetData>
    <row r="4" spans="2:14" x14ac:dyDescent="0.25">
      <c r="C4" t="s">
        <v>23</v>
      </c>
      <c r="D4" t="s">
        <v>29</v>
      </c>
      <c r="E4" t="s">
        <v>25</v>
      </c>
      <c r="F4" t="s">
        <v>38</v>
      </c>
      <c r="G4" t="s">
        <v>31</v>
      </c>
      <c r="H4" t="s">
        <v>32</v>
      </c>
    </row>
    <row r="5" spans="2:14" x14ac:dyDescent="0.25">
      <c r="B5" t="s">
        <v>5</v>
      </c>
      <c r="C5" s="1">
        <v>1</v>
      </c>
      <c r="D5" s="1">
        <v>1</v>
      </c>
      <c r="E5">
        <v>25</v>
      </c>
      <c r="F5">
        <v>25</v>
      </c>
      <c r="G5">
        <v>0</v>
      </c>
      <c r="H5">
        <v>1</v>
      </c>
      <c r="M5" t="s">
        <v>5</v>
      </c>
      <c r="N5" t="s">
        <v>5</v>
      </c>
    </row>
    <row r="6" spans="2:14" x14ac:dyDescent="0.25">
      <c r="B6" t="s">
        <v>42</v>
      </c>
      <c r="C6" s="1">
        <v>1</v>
      </c>
      <c r="D6" s="1">
        <v>1</v>
      </c>
      <c r="E6" s="30">
        <v>20</v>
      </c>
      <c r="F6">
        <v>35</v>
      </c>
      <c r="G6">
        <v>0</v>
      </c>
      <c r="H6">
        <v>1</v>
      </c>
      <c r="M6" t="s">
        <v>42</v>
      </c>
      <c r="N6" t="s">
        <v>6</v>
      </c>
    </row>
    <row r="7" spans="2:14" x14ac:dyDescent="0.25">
      <c r="B7" t="s">
        <v>15</v>
      </c>
      <c r="C7" s="1">
        <v>1</v>
      </c>
      <c r="D7" s="1">
        <v>1</v>
      </c>
      <c r="E7">
        <v>25</v>
      </c>
      <c r="F7">
        <v>35</v>
      </c>
      <c r="G7">
        <v>0</v>
      </c>
      <c r="H7">
        <v>1</v>
      </c>
      <c r="M7" t="s">
        <v>15</v>
      </c>
      <c r="N7" t="s">
        <v>6</v>
      </c>
    </row>
    <row r="8" spans="2:14" x14ac:dyDescent="0.25">
      <c r="B8" t="s">
        <v>16</v>
      </c>
      <c r="C8" s="1">
        <v>1</v>
      </c>
      <c r="D8" s="1">
        <v>1</v>
      </c>
      <c r="E8">
        <v>80</v>
      </c>
      <c r="F8">
        <v>60</v>
      </c>
      <c r="G8">
        <v>0</v>
      </c>
      <c r="H8">
        <v>0</v>
      </c>
      <c r="M8" t="s">
        <v>16</v>
      </c>
      <c r="N8" t="s">
        <v>7</v>
      </c>
    </row>
    <row r="9" spans="2:14" x14ac:dyDescent="0.25">
      <c r="B9" t="s">
        <v>17</v>
      </c>
      <c r="C9" s="1">
        <v>1</v>
      </c>
      <c r="D9" s="1">
        <v>1</v>
      </c>
      <c r="E9">
        <v>80</v>
      </c>
      <c r="F9">
        <v>20</v>
      </c>
      <c r="G9">
        <v>1</v>
      </c>
      <c r="H9">
        <v>0</v>
      </c>
      <c r="M9" t="s">
        <v>17</v>
      </c>
      <c r="N9" t="s">
        <v>7</v>
      </c>
    </row>
    <row r="10" spans="2:14" x14ac:dyDescent="0.25">
      <c r="B10" t="s">
        <v>8</v>
      </c>
      <c r="C10" s="1">
        <v>0.45900000000000002</v>
      </c>
      <c r="D10" s="1">
        <v>0.8</v>
      </c>
      <c r="E10">
        <v>30</v>
      </c>
      <c r="F10">
        <v>100</v>
      </c>
      <c r="G10">
        <v>1</v>
      </c>
      <c r="H10">
        <v>0</v>
      </c>
      <c r="M10" t="s">
        <v>8</v>
      </c>
      <c r="N10" t="s">
        <v>8</v>
      </c>
    </row>
    <row r="11" spans="2:14" x14ac:dyDescent="0.25">
      <c r="B11" t="s">
        <v>9</v>
      </c>
      <c r="C11" s="1">
        <v>0.38</v>
      </c>
      <c r="D11" s="1">
        <v>0.8</v>
      </c>
      <c r="E11">
        <v>30</v>
      </c>
      <c r="F11">
        <v>100</v>
      </c>
      <c r="G11">
        <v>1</v>
      </c>
      <c r="H11">
        <v>0</v>
      </c>
      <c r="M11" t="s">
        <v>9</v>
      </c>
      <c r="N11" t="s">
        <v>9</v>
      </c>
    </row>
    <row r="12" spans="2:14" x14ac:dyDescent="0.25">
      <c r="B12" t="s">
        <v>18</v>
      </c>
      <c r="C12" s="1">
        <v>1</v>
      </c>
      <c r="D12" s="1">
        <v>1</v>
      </c>
      <c r="E12">
        <v>40</v>
      </c>
      <c r="F12">
        <v>80</v>
      </c>
      <c r="G12">
        <v>0</v>
      </c>
      <c r="H12">
        <v>0</v>
      </c>
      <c r="M12" t="s">
        <v>18</v>
      </c>
      <c r="N12" t="s">
        <v>10</v>
      </c>
    </row>
    <row r="13" spans="2:14" x14ac:dyDescent="0.25">
      <c r="B13" t="s">
        <v>19</v>
      </c>
      <c r="C13" s="1">
        <v>1</v>
      </c>
      <c r="D13" s="1">
        <v>1</v>
      </c>
      <c r="E13">
        <v>30</v>
      </c>
      <c r="F13">
        <v>150</v>
      </c>
      <c r="G13">
        <v>0</v>
      </c>
      <c r="H13">
        <v>0</v>
      </c>
      <c r="M13" t="s">
        <v>19</v>
      </c>
      <c r="N13" t="s">
        <v>10</v>
      </c>
    </row>
    <row r="14" spans="2:14" x14ac:dyDescent="0.25">
      <c r="B14" t="s">
        <v>11</v>
      </c>
      <c r="C14" s="1">
        <f>C11</f>
        <v>0.38</v>
      </c>
      <c r="D14" s="1">
        <v>1</v>
      </c>
      <c r="E14">
        <f t="shared" ref="E14:F14" si="0">E11</f>
        <v>30</v>
      </c>
      <c r="F14">
        <f t="shared" si="0"/>
        <v>100</v>
      </c>
      <c r="G14">
        <v>0</v>
      </c>
      <c r="H14">
        <v>0</v>
      </c>
      <c r="M14" t="s">
        <v>11</v>
      </c>
      <c r="N14" t="s">
        <v>11</v>
      </c>
    </row>
    <row r="23" spans="1:17" x14ac:dyDescent="0.25">
      <c r="A23" t="s">
        <v>26</v>
      </c>
      <c r="C23" s="37">
        <v>2025</v>
      </c>
      <c r="D23" s="37">
        <v>2030</v>
      </c>
      <c r="E23" s="37">
        <v>2035</v>
      </c>
      <c r="F23" s="37">
        <v>2040</v>
      </c>
      <c r="G23" s="37">
        <v>2045</v>
      </c>
      <c r="H23" s="37">
        <v>2050</v>
      </c>
      <c r="I23">
        <v>2021</v>
      </c>
      <c r="J23">
        <v>2022</v>
      </c>
      <c r="K23">
        <v>2023</v>
      </c>
      <c r="L23">
        <v>2024</v>
      </c>
    </row>
    <row r="24" spans="1:17" x14ac:dyDescent="0.25">
      <c r="B24" t="s">
        <v>5</v>
      </c>
      <c r="C24" s="37">
        <v>722.66599599999995</v>
      </c>
      <c r="D24" s="37">
        <v>530.30226000000005</v>
      </c>
      <c r="E24" s="37">
        <v>389.143101</v>
      </c>
      <c r="F24" s="37">
        <v>285.55856699999998</v>
      </c>
      <c r="G24" s="37">
        <v>209.546809</v>
      </c>
      <c r="H24" s="37">
        <v>153.76833400000001</v>
      </c>
      <c r="I24" s="15">
        <v>965.43600000000004</v>
      </c>
      <c r="J24" s="15">
        <v>889.55200000000002</v>
      </c>
      <c r="K24" s="15">
        <v>813.66800000000001</v>
      </c>
      <c r="L24" s="15">
        <v>737.78399999999999</v>
      </c>
    </row>
    <row r="25" spans="1:17" x14ac:dyDescent="0.25">
      <c r="B25" t="s">
        <v>42</v>
      </c>
      <c r="C25" s="37">
        <v>1341.2198155373269</v>
      </c>
      <c r="D25" s="37">
        <v>1277.7867886362787</v>
      </c>
      <c r="E25" s="37">
        <v>1217.3538284321405</v>
      </c>
      <c r="F25" s="37">
        <v>1159.7790466905708</v>
      </c>
      <c r="G25" s="37">
        <v>1104.9272657850472</v>
      </c>
      <c r="H25" s="37">
        <v>1052.669701318506</v>
      </c>
      <c r="I25" s="30">
        <v>1432.8009999999999</v>
      </c>
      <c r="J25" s="30">
        <v>1448.982</v>
      </c>
      <c r="K25" s="30">
        <v>1465.163</v>
      </c>
      <c r="L25" s="30">
        <v>1481.3440000000001</v>
      </c>
    </row>
    <row r="26" spans="1:17" x14ac:dyDescent="0.25">
      <c r="B26" t="s">
        <v>15</v>
      </c>
      <c r="C26" s="37">
        <v>2957.3557099999998</v>
      </c>
      <c r="D26" s="37">
        <v>2754.6641500000001</v>
      </c>
      <c r="E26" s="37">
        <v>2565.8646800000001</v>
      </c>
      <c r="F26" s="37">
        <v>2390.0051699999999</v>
      </c>
      <c r="G26" s="37">
        <v>2226.1987399999998</v>
      </c>
      <c r="H26" s="37">
        <v>2073.6192900000001</v>
      </c>
      <c r="I26" s="36">
        <v>3265.7960000000021</v>
      </c>
      <c r="J26" s="36">
        <v>3216.0720000000001</v>
      </c>
      <c r="K26" s="36">
        <v>3166.3480000000127</v>
      </c>
      <c r="L26" s="36">
        <v>3116.6240000000107</v>
      </c>
    </row>
    <row r="27" spans="1:17" x14ac:dyDescent="0.25">
      <c r="B27" t="s">
        <v>16</v>
      </c>
      <c r="C27" s="37">
        <v>9313.0100000000093</v>
      </c>
      <c r="D27" s="37">
        <v>9313.0100000000093</v>
      </c>
      <c r="E27" s="37">
        <v>9313.0100000000093</v>
      </c>
      <c r="F27" s="37">
        <v>9313.0100000000093</v>
      </c>
      <c r="G27" s="37">
        <v>9313.0100000000093</v>
      </c>
      <c r="H27" s="37">
        <v>9313.0100000000093</v>
      </c>
      <c r="I27" s="32">
        <v>7305.8299999998417</v>
      </c>
      <c r="J27" s="32">
        <v>7974.8899999998976</v>
      </c>
      <c r="K27" s="32">
        <v>8643.9499999999534</v>
      </c>
      <c r="L27" s="32">
        <v>9313.0100000000093</v>
      </c>
    </row>
    <row r="28" spans="1:17" x14ac:dyDescent="0.25">
      <c r="B28" t="s">
        <v>17</v>
      </c>
      <c r="C28" s="37">
        <v>6646.1199999999953</v>
      </c>
      <c r="D28" s="37">
        <v>6646.1199999999953</v>
      </c>
      <c r="E28" s="37">
        <v>6646.1199999999953</v>
      </c>
      <c r="F28" s="37">
        <v>6646.1199999999953</v>
      </c>
      <c r="G28" s="37">
        <v>6646.1199999999953</v>
      </c>
      <c r="H28" s="37">
        <v>6646.1199999999953</v>
      </c>
      <c r="I28" s="34">
        <v>5744.9799999999814</v>
      </c>
      <c r="J28" s="34">
        <v>6045.359999999986</v>
      </c>
      <c r="K28" s="34">
        <v>6345.7399999999907</v>
      </c>
      <c r="L28" s="34">
        <v>6646.1199999999953</v>
      </c>
      <c r="P28" s="31"/>
      <c r="Q28" s="31"/>
    </row>
    <row r="29" spans="1:17" x14ac:dyDescent="0.25">
      <c r="B29" t="s">
        <v>8</v>
      </c>
      <c r="C29" s="37">
        <v>4604.7200000000303</v>
      </c>
      <c r="D29" s="37">
        <v>4604.7200000000303</v>
      </c>
      <c r="E29" s="37">
        <v>4604.7200000000303</v>
      </c>
      <c r="F29" s="37">
        <v>4604.7200000000303</v>
      </c>
      <c r="G29" s="37">
        <v>4604.7200000000303</v>
      </c>
      <c r="H29" s="37">
        <v>4604.7200000000303</v>
      </c>
      <c r="I29" s="16">
        <v>4140.3800000000047</v>
      </c>
      <c r="J29" s="16">
        <v>4295.1599999999744</v>
      </c>
      <c r="K29" s="16">
        <v>4449.9400000000023</v>
      </c>
      <c r="L29" s="16">
        <v>4604.7200000000303</v>
      </c>
      <c r="P29" s="31"/>
      <c r="Q29" s="31"/>
    </row>
    <row r="30" spans="1:17" x14ac:dyDescent="0.25">
      <c r="B30" t="s">
        <v>9</v>
      </c>
      <c r="C30" s="37">
        <v>8530.7137000000002</v>
      </c>
      <c r="D30" s="37">
        <v>8693.5460999999996</v>
      </c>
      <c r="E30" s="37">
        <v>8415.2163</v>
      </c>
      <c r="F30" s="37">
        <v>8077.2443999999996</v>
      </c>
      <c r="G30" s="37">
        <v>8391.5488000000005</v>
      </c>
      <c r="H30" s="37">
        <v>7973.1073999999999</v>
      </c>
      <c r="I30" s="9">
        <v>8094.2849999999999</v>
      </c>
      <c r="J30" s="9">
        <v>9329.7285000000011</v>
      </c>
      <c r="K30" s="9">
        <v>8534.5005000000001</v>
      </c>
      <c r="L30" s="37">
        <v>8534.5005000000001</v>
      </c>
      <c r="P30" s="31"/>
      <c r="Q30" s="31"/>
    </row>
    <row r="31" spans="1:17" x14ac:dyDescent="0.25">
      <c r="B31" t="s">
        <v>18</v>
      </c>
      <c r="C31" s="37">
        <v>9924.0799999999581</v>
      </c>
      <c r="D31" s="37">
        <v>9924.0799999999581</v>
      </c>
      <c r="E31" s="37">
        <v>9924.0799999999581</v>
      </c>
      <c r="F31" s="37">
        <v>9924.0799999999581</v>
      </c>
      <c r="G31" s="37">
        <v>9924.0799999999581</v>
      </c>
      <c r="H31" s="37">
        <v>9924.0799999999581</v>
      </c>
      <c r="I31" s="17">
        <v>9199.82</v>
      </c>
      <c r="J31" s="17">
        <v>9441.24</v>
      </c>
      <c r="K31" s="17">
        <v>9682.66</v>
      </c>
      <c r="L31" s="17">
        <v>9924.08</v>
      </c>
      <c r="P31" s="31"/>
      <c r="Q31" s="31"/>
    </row>
    <row r="32" spans="1:17" x14ac:dyDescent="0.25">
      <c r="B32" t="s">
        <v>19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9">
        <v>0</v>
      </c>
      <c r="J32" s="9">
        <v>0</v>
      </c>
      <c r="K32" s="9">
        <v>0</v>
      </c>
      <c r="L32">
        <v>0</v>
      </c>
      <c r="O32" s="32"/>
      <c r="P32" s="31"/>
      <c r="Q32" s="31"/>
    </row>
    <row r="33" spans="1:24" x14ac:dyDescent="0.25">
      <c r="B33" t="s">
        <v>11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9">
        <v>0</v>
      </c>
      <c r="J33" s="9">
        <v>0</v>
      </c>
      <c r="K33" s="9">
        <v>0</v>
      </c>
      <c r="L33">
        <v>0</v>
      </c>
      <c r="O33" s="32"/>
      <c r="P33" s="31"/>
      <c r="Q33" s="31"/>
    </row>
    <row r="34" spans="1:24" x14ac:dyDescent="0.25">
      <c r="O34" s="32"/>
      <c r="P34" s="31"/>
      <c r="Q34" s="31"/>
    </row>
    <row r="35" spans="1:24" x14ac:dyDescent="0.25">
      <c r="O35" s="32"/>
      <c r="P35" s="31"/>
      <c r="Q35" s="31"/>
    </row>
    <row r="36" spans="1:24" x14ac:dyDescent="0.25">
      <c r="O36" s="32"/>
      <c r="P36" s="34"/>
      <c r="Q36" s="31"/>
    </row>
    <row r="37" spans="1:24" x14ac:dyDescent="0.25">
      <c r="O37" s="32"/>
      <c r="P37" s="34"/>
      <c r="Q37" s="31"/>
    </row>
    <row r="38" spans="1:24" x14ac:dyDescent="0.25">
      <c r="O38" s="32"/>
      <c r="P38" s="34"/>
      <c r="Q38" s="16"/>
    </row>
    <row r="39" spans="1:24" x14ac:dyDescent="0.25">
      <c r="O39" s="32"/>
      <c r="P39" s="34"/>
      <c r="Q39" s="16"/>
    </row>
    <row r="40" spans="1:24" x14ac:dyDescent="0.25">
      <c r="K40" s="6"/>
      <c r="O40" s="32"/>
      <c r="P40" s="34"/>
      <c r="Q40" s="17"/>
    </row>
    <row r="41" spans="1:24" x14ac:dyDescent="0.25">
      <c r="A41" t="s">
        <v>37</v>
      </c>
      <c r="C41" s="37">
        <v>2025</v>
      </c>
      <c r="D41" s="37">
        <v>2030</v>
      </c>
      <c r="E41" s="37">
        <v>2035</v>
      </c>
      <c r="F41" s="37">
        <v>2040</v>
      </c>
      <c r="G41" s="37">
        <v>2045</v>
      </c>
      <c r="H41" s="37">
        <v>2050</v>
      </c>
      <c r="I41">
        <v>2021</v>
      </c>
      <c r="J41">
        <v>2022</v>
      </c>
      <c r="K41" s="6">
        <v>2023</v>
      </c>
      <c r="L41">
        <v>2024</v>
      </c>
      <c r="O41" s="32"/>
      <c r="P41" s="34"/>
      <c r="Q41" s="17"/>
    </row>
    <row r="42" spans="1:24" x14ac:dyDescent="0.25">
      <c r="B42" t="s">
        <v>5</v>
      </c>
      <c r="C42" s="37">
        <v>11.2371377</v>
      </c>
      <c r="D42" s="37">
        <v>9.3532526300000001</v>
      </c>
      <c r="E42" s="37">
        <v>7.7851973699999997</v>
      </c>
      <c r="F42" s="37">
        <v>6.4800236299999998</v>
      </c>
      <c r="G42" s="37">
        <v>5.3936598299999998</v>
      </c>
      <c r="H42" s="37">
        <v>4.4894228700000003</v>
      </c>
      <c r="I42" s="15">
        <v>15.600199999999859</v>
      </c>
      <c r="J42" s="15">
        <v>14.576399999999921</v>
      </c>
      <c r="K42" s="15">
        <v>13.552599999999529</v>
      </c>
      <c r="L42" s="15">
        <v>12.528799999999592</v>
      </c>
      <c r="P42" s="34"/>
      <c r="Q42" s="17"/>
    </row>
    <row r="43" spans="1:24" x14ac:dyDescent="0.25">
      <c r="B43" t="s">
        <v>42</v>
      </c>
      <c r="C43" s="37">
        <v>25.504788778402649</v>
      </c>
      <c r="D43" s="37">
        <v>20.376173035507122</v>
      </c>
      <c r="E43" s="37">
        <v>16.278842031599705</v>
      </c>
      <c r="F43" s="37">
        <v>13.005420469682326</v>
      </c>
      <c r="G43" s="37">
        <v>10.39023299476116</v>
      </c>
      <c r="H43" s="37">
        <v>8.3009189850562368</v>
      </c>
      <c r="I43" s="30">
        <v>30.063099999999999</v>
      </c>
      <c r="J43" s="30">
        <v>28.2042</v>
      </c>
      <c r="K43" s="30">
        <v>26.345300000000002</v>
      </c>
      <c r="L43" s="30">
        <v>24.4864</v>
      </c>
      <c r="O43" s="33"/>
      <c r="P43" s="34"/>
      <c r="Q43" s="17"/>
    </row>
    <row r="44" spans="1:24" x14ac:dyDescent="0.25">
      <c r="B44" t="s">
        <v>15</v>
      </c>
      <c r="C44" s="37">
        <v>70.975072100000006</v>
      </c>
      <c r="D44" s="37">
        <v>58.138536199999997</v>
      </c>
      <c r="E44" s="37">
        <v>47.623613400000004</v>
      </c>
      <c r="F44" s="37">
        <v>39.010417199999999</v>
      </c>
      <c r="G44" s="37">
        <v>31.9550017</v>
      </c>
      <c r="H44" s="37">
        <v>26.175627200000001</v>
      </c>
      <c r="I44" s="37">
        <v>81.912200000000666</v>
      </c>
      <c r="J44" s="37">
        <v>78.360400000000482</v>
      </c>
      <c r="K44" s="37">
        <v>74.808600000000297</v>
      </c>
      <c r="L44" s="37">
        <v>71.256800000000112</v>
      </c>
      <c r="O44" s="35"/>
      <c r="P44" s="34"/>
      <c r="Q44" s="17"/>
    </row>
    <row r="45" spans="1:24" x14ac:dyDescent="0.25">
      <c r="B45" t="s">
        <v>16</v>
      </c>
      <c r="C45" s="37">
        <v>90.752799999999297</v>
      </c>
      <c r="D45" s="37">
        <v>90.752799999999297</v>
      </c>
      <c r="E45" s="37">
        <v>90.752799999999297</v>
      </c>
      <c r="F45" s="37">
        <v>90.752799999999297</v>
      </c>
      <c r="G45" s="37">
        <v>90.752799999999297</v>
      </c>
      <c r="H45" s="37">
        <v>90.752799999999297</v>
      </c>
      <c r="I45" s="33">
        <v>79.008699999999408</v>
      </c>
      <c r="J45" s="33">
        <v>82.923399999999674</v>
      </c>
      <c r="K45" s="33">
        <v>86.838099999999031</v>
      </c>
      <c r="L45" s="33">
        <v>90.752799999999297</v>
      </c>
      <c r="O45" s="35"/>
      <c r="P45" s="34"/>
      <c r="Q45" s="17"/>
    </row>
    <row r="46" spans="1:24" x14ac:dyDescent="0.25">
      <c r="B46" t="s">
        <v>17</v>
      </c>
      <c r="C46" s="37">
        <v>72.083200000000033</v>
      </c>
      <c r="D46" s="37">
        <v>72.083200000000033</v>
      </c>
      <c r="E46" s="37">
        <v>72.083200000000033</v>
      </c>
      <c r="F46" s="37">
        <v>72.083200000000033</v>
      </c>
      <c r="G46" s="37">
        <v>72.083200000000033</v>
      </c>
      <c r="H46" s="37">
        <v>72.083200000000033</v>
      </c>
      <c r="I46" s="35">
        <v>71.110300000000052</v>
      </c>
      <c r="J46" s="35">
        <v>71.434600000000046</v>
      </c>
      <c r="K46" s="35">
        <v>71.75890000000004</v>
      </c>
      <c r="L46" s="35">
        <v>72.083200000000033</v>
      </c>
      <c r="O46" s="35"/>
      <c r="P46" s="17"/>
      <c r="Q46" s="17"/>
    </row>
    <row r="47" spans="1:24" x14ac:dyDescent="0.25">
      <c r="B47" t="s">
        <v>8</v>
      </c>
      <c r="C47" s="37">
        <v>136.29280000000108</v>
      </c>
      <c r="D47" s="37">
        <v>136.29280000000108</v>
      </c>
      <c r="E47" s="37">
        <v>136.29280000000108</v>
      </c>
      <c r="F47" s="37">
        <v>136.29280000000108</v>
      </c>
      <c r="G47" s="37">
        <v>136.29280000000108</v>
      </c>
      <c r="H47" s="37">
        <v>136.29280000000108</v>
      </c>
      <c r="I47" s="16">
        <v>123.13119999999981</v>
      </c>
      <c r="J47" s="16">
        <v>127.51840000000084</v>
      </c>
      <c r="K47" s="16">
        <v>131.90560000000005</v>
      </c>
      <c r="L47" s="16">
        <v>136.29280000000108</v>
      </c>
      <c r="O47" s="35"/>
      <c r="P47" s="17"/>
      <c r="Q47" s="17"/>
    </row>
    <row r="48" spans="1:24" x14ac:dyDescent="0.25">
      <c r="B48" t="s">
        <v>9</v>
      </c>
      <c r="C48" s="37">
        <v>341.22854799999999</v>
      </c>
      <c r="D48" s="37">
        <v>347.74184400000001</v>
      </c>
      <c r="E48" s="37">
        <v>336.60865200000001</v>
      </c>
      <c r="F48" s="37">
        <v>323.08977599999997</v>
      </c>
      <c r="G48" s="37">
        <v>335.66195200000004</v>
      </c>
      <c r="H48" s="37">
        <v>318.92429600000003</v>
      </c>
      <c r="I48" s="12">
        <v>323.77140000000003</v>
      </c>
      <c r="J48" s="12">
        <v>373.18914000000007</v>
      </c>
      <c r="K48" s="12">
        <v>341.38002</v>
      </c>
      <c r="L48" s="37">
        <v>341.38002</v>
      </c>
      <c r="O48" s="35"/>
      <c r="P48" s="19"/>
      <c r="Q48" s="19"/>
      <c r="R48" s="19"/>
      <c r="S48" s="19"/>
      <c r="T48" s="19"/>
      <c r="U48" s="19"/>
      <c r="V48" s="19"/>
      <c r="W48" s="19"/>
      <c r="X48" s="19"/>
    </row>
    <row r="49" spans="2:24" x14ac:dyDescent="0.25">
      <c r="B49" t="s">
        <v>18</v>
      </c>
      <c r="C49" s="37">
        <v>115.72799999999552</v>
      </c>
      <c r="D49" s="37">
        <v>115.72799999999552</v>
      </c>
      <c r="E49" s="37">
        <v>115.72799999999552</v>
      </c>
      <c r="F49" s="37">
        <v>115.72799999999552</v>
      </c>
      <c r="G49" s="37">
        <v>115.72799999999552</v>
      </c>
      <c r="H49" s="37">
        <v>115.72799999999552</v>
      </c>
      <c r="I49" s="17">
        <v>190.137</v>
      </c>
      <c r="J49" s="17">
        <v>165.334</v>
      </c>
      <c r="K49" s="17">
        <v>140.53100000000001</v>
      </c>
      <c r="L49" s="17">
        <v>115.72799999999999</v>
      </c>
      <c r="O49" s="35"/>
      <c r="P49" s="20"/>
      <c r="Q49" s="20"/>
      <c r="R49" s="20"/>
      <c r="S49" s="20"/>
      <c r="T49" s="20"/>
      <c r="U49" s="20"/>
      <c r="V49" s="20"/>
      <c r="W49" s="20"/>
      <c r="X49" s="20"/>
    </row>
    <row r="50" spans="2:24" x14ac:dyDescent="0.25">
      <c r="B50" t="s">
        <v>19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10">
        <v>0</v>
      </c>
      <c r="J50" s="10">
        <v>0</v>
      </c>
      <c r="K50" s="10">
        <v>0</v>
      </c>
      <c r="L50" s="37">
        <v>0</v>
      </c>
      <c r="O50" s="35"/>
      <c r="P50" s="20"/>
      <c r="Q50" s="20"/>
      <c r="R50" s="20"/>
      <c r="S50" s="20"/>
      <c r="T50" s="20"/>
      <c r="U50" s="20"/>
      <c r="V50" s="20"/>
      <c r="W50" s="20"/>
      <c r="X50" s="20"/>
    </row>
    <row r="51" spans="2:24" x14ac:dyDescent="0.25">
      <c r="B51" t="s">
        <v>11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10">
        <v>0</v>
      </c>
      <c r="J51" s="10">
        <v>0</v>
      </c>
      <c r="K51" s="10">
        <v>0</v>
      </c>
      <c r="L51" s="37">
        <v>0</v>
      </c>
      <c r="O51" s="35"/>
    </row>
    <row r="52" spans="2:24" x14ac:dyDescent="0.25">
      <c r="O52" s="35"/>
    </row>
    <row r="53" spans="2:24" x14ac:dyDescent="0.25">
      <c r="O53" s="35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466-D62E-442E-9342-2BE61F4CCBEF}">
  <dimension ref="A4:X26"/>
  <sheetViews>
    <sheetView workbookViewId="0">
      <selection activeCell="E30" sqref="E30"/>
    </sheetView>
  </sheetViews>
  <sheetFormatPr baseColWidth="10" defaultColWidth="9.140625" defaultRowHeight="15" x14ac:dyDescent="0.25"/>
  <cols>
    <col min="1" max="1" width="24.7109375" bestFit="1" customWidth="1"/>
    <col min="2" max="2" width="12.7109375" bestFit="1" customWidth="1"/>
    <col min="3" max="3" width="9.7109375" bestFit="1" customWidth="1"/>
    <col min="5" max="5" width="12.28515625" bestFit="1" customWidth="1"/>
  </cols>
  <sheetData>
    <row r="4" spans="1:24" x14ac:dyDescent="0.25">
      <c r="C4" t="s">
        <v>23</v>
      </c>
      <c r="D4" t="s">
        <v>29</v>
      </c>
      <c r="E4" t="s">
        <v>25</v>
      </c>
      <c r="F4" t="s">
        <v>38</v>
      </c>
    </row>
    <row r="5" spans="1:24" x14ac:dyDescent="0.25">
      <c r="B5" t="s">
        <v>20</v>
      </c>
      <c r="C5" s="2">
        <v>0.77500000000000002</v>
      </c>
      <c r="D5" s="1">
        <v>0.97</v>
      </c>
      <c r="E5" s="5">
        <v>80</v>
      </c>
      <c r="F5" s="5">
        <v>20</v>
      </c>
    </row>
    <row r="6" spans="1:24" x14ac:dyDescent="0.25">
      <c r="B6" t="s">
        <v>21</v>
      </c>
      <c r="C6" s="2">
        <v>0.85</v>
      </c>
      <c r="D6" s="1">
        <v>0.99</v>
      </c>
      <c r="E6" s="5">
        <v>11</v>
      </c>
      <c r="F6" s="5">
        <v>2</v>
      </c>
    </row>
    <row r="9" spans="1:24" x14ac:dyDescent="0.25">
      <c r="A9" t="s">
        <v>33</v>
      </c>
      <c r="C9" s="37">
        <v>2025</v>
      </c>
      <c r="D9" s="37">
        <v>2030</v>
      </c>
      <c r="E9" s="37">
        <v>2035</v>
      </c>
      <c r="F9" s="37">
        <v>2040</v>
      </c>
      <c r="G9" s="37">
        <v>2045</v>
      </c>
      <c r="H9" s="37">
        <v>2050</v>
      </c>
      <c r="I9">
        <v>2021</v>
      </c>
      <c r="J9">
        <v>2022</v>
      </c>
      <c r="K9">
        <v>2023</v>
      </c>
      <c r="L9">
        <v>2024</v>
      </c>
    </row>
    <row r="10" spans="1:24" x14ac:dyDescent="0.25">
      <c r="B10" t="s">
        <v>20</v>
      </c>
      <c r="C10" s="37">
        <v>2781.5760000000009</v>
      </c>
      <c r="D10" s="37">
        <v>2781.5760000000009</v>
      </c>
      <c r="E10" s="37">
        <v>2781.5760000000009</v>
      </c>
      <c r="F10" s="37">
        <v>2781.5760000000009</v>
      </c>
      <c r="G10" s="37">
        <v>2781.5760000000009</v>
      </c>
      <c r="H10" s="37">
        <v>2781.5760000000009</v>
      </c>
      <c r="I10" s="25">
        <v>2497.2540000000154</v>
      </c>
      <c r="J10" s="25">
        <v>2592.0279999999912</v>
      </c>
      <c r="K10" s="25">
        <v>2686.801999999996</v>
      </c>
      <c r="L10" s="25">
        <v>2781.5760000000009</v>
      </c>
    </row>
    <row r="11" spans="1:24" x14ac:dyDescent="0.25">
      <c r="B11" t="s">
        <v>21</v>
      </c>
      <c r="C11" s="37">
        <v>1459.1300257560133</v>
      </c>
      <c r="D11" s="37">
        <v>1233.4811625763803</v>
      </c>
      <c r="E11" s="37">
        <v>1042.7280307952421</v>
      </c>
      <c r="F11" s="37">
        <v>881.47413936593534</v>
      </c>
      <c r="G11" s="37">
        <v>745.15754388834807</v>
      </c>
      <c r="H11" s="37">
        <v>629.92178717022182</v>
      </c>
      <c r="I11" s="25">
        <v>1686.6010000000001</v>
      </c>
      <c r="J11" s="25">
        <v>1652.5820000000001</v>
      </c>
      <c r="K11" s="25">
        <v>1618.5630000000001</v>
      </c>
      <c r="L11" s="25">
        <v>1584.5440000000001</v>
      </c>
      <c r="P11" s="25"/>
      <c r="Q11" s="25"/>
    </row>
    <row r="12" spans="1:24" x14ac:dyDescent="0.25">
      <c r="P12" s="25"/>
      <c r="Q12" s="25"/>
    </row>
    <row r="13" spans="1:24" x14ac:dyDescent="0.25">
      <c r="P13" s="25"/>
      <c r="Q13" s="25"/>
    </row>
    <row r="14" spans="1:24" x14ac:dyDescent="0.25">
      <c r="A14" t="s">
        <v>34</v>
      </c>
      <c r="C14" s="37">
        <v>2025</v>
      </c>
      <c r="D14" s="37">
        <v>2030</v>
      </c>
      <c r="E14" s="37">
        <v>2035</v>
      </c>
      <c r="F14" s="37">
        <v>2040</v>
      </c>
      <c r="G14" s="37">
        <v>2045</v>
      </c>
      <c r="H14" s="37">
        <v>2050</v>
      </c>
      <c r="I14">
        <v>2021</v>
      </c>
      <c r="J14">
        <v>2022</v>
      </c>
      <c r="K14">
        <v>2023</v>
      </c>
      <c r="L14">
        <v>2024</v>
      </c>
      <c r="P14" s="25"/>
      <c r="Q14" s="25"/>
    </row>
    <row r="15" spans="1:24" x14ac:dyDescent="0.25">
      <c r="B15" t="s">
        <v>20</v>
      </c>
      <c r="C15" s="37">
        <v>0.16049839999999996</v>
      </c>
      <c r="D15" s="37">
        <v>0.16049839999999996</v>
      </c>
      <c r="E15" s="37">
        <v>0.16049839999999996</v>
      </c>
      <c r="F15" s="37">
        <v>0.16049839999999996</v>
      </c>
      <c r="G15" s="37">
        <v>0.16049839999999996</v>
      </c>
      <c r="H15" s="37">
        <v>0.16049839999999996</v>
      </c>
      <c r="I15" s="25">
        <v>0.16243609999999989</v>
      </c>
      <c r="J15" s="25">
        <v>0.16179019999999991</v>
      </c>
      <c r="K15" s="25">
        <v>0.16114429999999993</v>
      </c>
      <c r="L15" s="25">
        <v>0.16049839999999996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spans="1:24" x14ac:dyDescent="0.25">
      <c r="B16" t="s">
        <v>21</v>
      </c>
      <c r="C16" s="37">
        <v>0.45132312267072583</v>
      </c>
      <c r="D16" s="37">
        <v>0.27237602085091867</v>
      </c>
      <c r="E16" s="37">
        <v>0.16438044719616671</v>
      </c>
      <c r="F16" s="37">
        <v>9.9204516374074458E-2</v>
      </c>
      <c r="G16" s="37">
        <v>5.987047873929905E-2</v>
      </c>
      <c r="H16" s="37">
        <v>3.6132167722652209E-2</v>
      </c>
      <c r="I16" s="25">
        <v>0.39950599999999997</v>
      </c>
      <c r="J16" s="25">
        <v>0.33229199999999998</v>
      </c>
      <c r="K16" s="25">
        <v>0.26507799999999998</v>
      </c>
      <c r="L16" s="25">
        <v>0.19786400000000001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spans="1:24" x14ac:dyDescent="0.25">
      <c r="P17" s="25"/>
      <c r="Q17" s="25"/>
    </row>
    <row r="18" spans="1:24" x14ac:dyDescent="0.25">
      <c r="P18" s="37"/>
      <c r="Q18" s="37"/>
      <c r="R18" s="37"/>
      <c r="S18" s="37"/>
      <c r="T18" s="37"/>
      <c r="U18" s="37"/>
      <c r="V18" s="37"/>
      <c r="W18" s="37"/>
      <c r="X18" s="37"/>
    </row>
    <row r="19" spans="1:24" x14ac:dyDescent="0.25">
      <c r="A19" t="s">
        <v>35</v>
      </c>
      <c r="C19" s="37">
        <v>2025</v>
      </c>
      <c r="D19" s="37">
        <v>2030</v>
      </c>
      <c r="E19" s="37">
        <v>2035</v>
      </c>
      <c r="F19" s="37">
        <v>2040</v>
      </c>
      <c r="G19" s="37">
        <v>2045</v>
      </c>
      <c r="H19" s="37">
        <v>2050</v>
      </c>
      <c r="I19">
        <v>2021</v>
      </c>
      <c r="J19">
        <v>2022</v>
      </c>
      <c r="K19">
        <v>2023</v>
      </c>
      <c r="L19">
        <v>2024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spans="1:24" x14ac:dyDescent="0.25">
      <c r="B20" t="s">
        <v>20</v>
      </c>
      <c r="C20">
        <v>6</v>
      </c>
      <c r="D20" s="13">
        <v>6</v>
      </c>
      <c r="E20" s="13">
        <v>6</v>
      </c>
      <c r="F20" s="13">
        <v>6</v>
      </c>
      <c r="G20" s="13">
        <v>6</v>
      </c>
      <c r="H20" s="13">
        <v>6</v>
      </c>
      <c r="I20" s="13">
        <v>6</v>
      </c>
      <c r="J20" s="13">
        <v>6</v>
      </c>
      <c r="K20" s="13">
        <v>6</v>
      </c>
      <c r="L20" s="13">
        <v>6</v>
      </c>
      <c r="P20" s="25"/>
      <c r="Q20" s="25"/>
    </row>
    <row r="21" spans="1:24" x14ac:dyDescent="0.25">
      <c r="B21" t="s">
        <v>21</v>
      </c>
      <c r="C21">
        <v>2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</row>
    <row r="24" spans="1:24" x14ac:dyDescent="0.25">
      <c r="A24" t="s">
        <v>36</v>
      </c>
      <c r="C24" s="37">
        <v>2025</v>
      </c>
      <c r="D24" s="37">
        <v>2030</v>
      </c>
      <c r="E24" s="37">
        <v>2035</v>
      </c>
      <c r="F24" s="37">
        <v>2040</v>
      </c>
      <c r="G24" s="37">
        <v>2045</v>
      </c>
      <c r="H24" s="37">
        <v>2050</v>
      </c>
      <c r="I24">
        <v>2021</v>
      </c>
      <c r="J24">
        <v>2022</v>
      </c>
      <c r="K24">
        <v>2023</v>
      </c>
      <c r="L24">
        <v>2024</v>
      </c>
    </row>
    <row r="25" spans="1:24" x14ac:dyDescent="0.25">
      <c r="B25" t="s">
        <v>20</v>
      </c>
      <c r="C25">
        <v>0.75</v>
      </c>
      <c r="D25" s="13">
        <v>0.75</v>
      </c>
      <c r="E25" s="13">
        <v>0.75</v>
      </c>
      <c r="F25" s="13">
        <v>0.75</v>
      </c>
      <c r="G25" s="13">
        <v>0.75</v>
      </c>
      <c r="H25" s="13">
        <v>0.75</v>
      </c>
      <c r="I25" s="13">
        <v>0.75</v>
      </c>
      <c r="J25" s="13">
        <v>0.75</v>
      </c>
      <c r="K25" s="13">
        <v>0.75</v>
      </c>
      <c r="L25" s="13">
        <v>0.75</v>
      </c>
    </row>
    <row r="26" spans="1:24" x14ac:dyDescent="0.25">
      <c r="B26" t="s">
        <v>21</v>
      </c>
      <c r="C26">
        <v>0.9</v>
      </c>
      <c r="D26" s="13">
        <v>0.9</v>
      </c>
      <c r="E26" s="13">
        <v>0.9</v>
      </c>
      <c r="F26" s="13">
        <v>0.9</v>
      </c>
      <c r="G26" s="13">
        <v>0.9</v>
      </c>
      <c r="H26" s="13">
        <v>0.9</v>
      </c>
      <c r="I26" s="13">
        <v>0.9</v>
      </c>
      <c r="J26" s="13">
        <v>0.9</v>
      </c>
      <c r="K26" s="13">
        <v>0.9</v>
      </c>
      <c r="L26" s="13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70AB-8EA7-401B-9C9C-5085E44C8BC7}">
  <dimension ref="C3:F15"/>
  <sheetViews>
    <sheetView workbookViewId="0">
      <selection activeCell="F25" sqref="F25"/>
    </sheetView>
  </sheetViews>
  <sheetFormatPr baseColWidth="10" defaultColWidth="9.140625" defaultRowHeight="15" x14ac:dyDescent="0.25"/>
  <sheetData>
    <row r="3" spans="3:6" x14ac:dyDescent="0.25">
      <c r="C3" t="s">
        <v>22</v>
      </c>
    </row>
    <row r="6" spans="3:6" x14ac:dyDescent="0.25">
      <c r="C6">
        <v>2015</v>
      </c>
      <c r="D6" s="37">
        <v>0</v>
      </c>
      <c r="F6" s="37">
        <v>7.5</v>
      </c>
    </row>
    <row r="7" spans="3:6" x14ac:dyDescent="0.25">
      <c r="C7">
        <v>2016</v>
      </c>
      <c r="D7" s="37">
        <v>0</v>
      </c>
      <c r="F7" s="37">
        <v>8</v>
      </c>
    </row>
    <row r="8" spans="3:6" x14ac:dyDescent="0.25">
      <c r="C8">
        <v>2017</v>
      </c>
      <c r="D8" s="37">
        <v>0</v>
      </c>
      <c r="F8" s="37">
        <v>5.8</v>
      </c>
    </row>
    <row r="9" spans="3:6" x14ac:dyDescent="0.25">
      <c r="C9">
        <v>2018</v>
      </c>
      <c r="D9" s="37">
        <v>0</v>
      </c>
      <c r="F9" s="37">
        <v>15</v>
      </c>
    </row>
    <row r="10" spans="3:6" x14ac:dyDescent="0.25">
      <c r="C10">
        <v>2019</v>
      </c>
      <c r="D10" s="37">
        <v>0</v>
      </c>
      <c r="F10" s="37">
        <v>24.9</v>
      </c>
    </row>
    <row r="11" spans="3:6" x14ac:dyDescent="0.25">
      <c r="C11">
        <v>2020</v>
      </c>
      <c r="D11" s="37">
        <v>0</v>
      </c>
      <c r="F11" s="37">
        <v>24.8</v>
      </c>
    </row>
    <row r="12" spans="3:6" x14ac:dyDescent="0.25">
      <c r="C12">
        <v>2021</v>
      </c>
      <c r="D12" s="37">
        <v>0</v>
      </c>
      <c r="F12" s="37">
        <v>52.9</v>
      </c>
    </row>
    <row r="13" spans="3:6" x14ac:dyDescent="0.25">
      <c r="C13">
        <v>2022</v>
      </c>
      <c r="D13" s="37">
        <v>0</v>
      </c>
      <c r="F13" s="37">
        <v>79.7</v>
      </c>
    </row>
    <row r="14" spans="3:6" x14ac:dyDescent="0.25">
      <c r="C14">
        <v>2023</v>
      </c>
      <c r="D14" s="37">
        <v>0</v>
      </c>
      <c r="F14" s="37">
        <v>83.3</v>
      </c>
    </row>
    <row r="15" spans="3:6" x14ac:dyDescent="0.25">
      <c r="C15">
        <v>2024</v>
      </c>
      <c r="D15" s="37">
        <v>0</v>
      </c>
      <c r="F15" s="37">
        <v>67.534999999999997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645-5ABA-4134-ABC8-A6853E99F31E}">
  <dimension ref="B3:I10"/>
  <sheetViews>
    <sheetView workbookViewId="0">
      <selection activeCell="E25" sqref="E25"/>
    </sheetView>
  </sheetViews>
  <sheetFormatPr baseColWidth="10" defaultRowHeight="15" x14ac:dyDescent="0.25"/>
  <sheetData>
    <row r="3" spans="2:9" x14ac:dyDescent="0.25">
      <c r="C3" t="s">
        <v>43</v>
      </c>
      <c r="D3" t="s">
        <v>44</v>
      </c>
      <c r="E3" t="s">
        <v>45</v>
      </c>
      <c r="F3" t="s">
        <v>46</v>
      </c>
      <c r="G3" t="s">
        <v>39</v>
      </c>
      <c r="H3" t="s">
        <v>40</v>
      </c>
      <c r="I3" t="s">
        <v>41</v>
      </c>
    </row>
    <row r="4" spans="2:9" x14ac:dyDescent="0.25">
      <c r="B4" s="37" t="s">
        <v>43</v>
      </c>
      <c r="C4">
        <v>0</v>
      </c>
      <c r="D4">
        <v>0</v>
      </c>
      <c r="E4">
        <v>2359</v>
      </c>
      <c r="F4">
        <v>7347</v>
      </c>
      <c r="G4">
        <v>0</v>
      </c>
      <c r="H4">
        <v>0</v>
      </c>
      <c r="I4">
        <v>0</v>
      </c>
    </row>
    <row r="5" spans="2:9" x14ac:dyDescent="0.25">
      <c r="B5" s="37" t="s">
        <v>44</v>
      </c>
      <c r="C5">
        <v>0</v>
      </c>
      <c r="D5">
        <v>0</v>
      </c>
      <c r="E5">
        <v>8009</v>
      </c>
      <c r="F5">
        <v>0</v>
      </c>
      <c r="G5">
        <v>0</v>
      </c>
      <c r="H5">
        <v>0</v>
      </c>
      <c r="I5">
        <v>0</v>
      </c>
    </row>
    <row r="6" spans="2:9" x14ac:dyDescent="0.25">
      <c r="B6" s="37" t="s">
        <v>45</v>
      </c>
      <c r="C6">
        <v>2359</v>
      </c>
      <c r="D6">
        <v>8009</v>
      </c>
      <c r="E6">
        <v>0</v>
      </c>
      <c r="F6">
        <v>5882</v>
      </c>
      <c r="G6">
        <v>2025</v>
      </c>
      <c r="H6">
        <v>0</v>
      </c>
      <c r="I6">
        <v>164</v>
      </c>
    </row>
    <row r="7" spans="2:9" x14ac:dyDescent="0.25">
      <c r="B7" s="37" t="s">
        <v>46</v>
      </c>
      <c r="C7">
        <v>7347</v>
      </c>
      <c r="D7">
        <v>0</v>
      </c>
      <c r="E7">
        <v>5882</v>
      </c>
      <c r="F7">
        <v>0</v>
      </c>
      <c r="G7">
        <v>2415</v>
      </c>
      <c r="H7">
        <v>1796</v>
      </c>
      <c r="I7">
        <v>0</v>
      </c>
    </row>
    <row r="8" spans="2:9" x14ac:dyDescent="0.25">
      <c r="B8" s="37" t="s">
        <v>39</v>
      </c>
      <c r="C8">
        <v>0</v>
      </c>
      <c r="D8">
        <v>0</v>
      </c>
      <c r="E8">
        <v>2025</v>
      </c>
      <c r="F8">
        <v>2415</v>
      </c>
      <c r="G8">
        <v>0</v>
      </c>
      <c r="H8">
        <v>1899</v>
      </c>
      <c r="I8">
        <v>2026</v>
      </c>
    </row>
    <row r="9" spans="2:9" x14ac:dyDescent="0.25">
      <c r="B9" s="37" t="s">
        <v>40</v>
      </c>
      <c r="C9">
        <v>0</v>
      </c>
      <c r="D9">
        <v>0</v>
      </c>
      <c r="E9">
        <v>0</v>
      </c>
      <c r="F9">
        <v>1796</v>
      </c>
      <c r="G9">
        <v>1899</v>
      </c>
      <c r="H9">
        <v>0</v>
      </c>
      <c r="I9">
        <v>737</v>
      </c>
    </row>
    <row r="10" spans="2:9" x14ac:dyDescent="0.25">
      <c r="B10" s="37" t="s">
        <v>41</v>
      </c>
      <c r="C10">
        <v>0</v>
      </c>
      <c r="D10">
        <v>0</v>
      </c>
      <c r="E10">
        <v>164</v>
      </c>
      <c r="F10">
        <v>0</v>
      </c>
      <c r="G10">
        <v>2026</v>
      </c>
      <c r="H10">
        <v>737</v>
      </c>
      <c r="I1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fuel_conv</vt:lpstr>
      <vt:lpstr>fuel_renew</vt:lpstr>
      <vt:lpstr>tech_conv</vt:lpstr>
      <vt:lpstr>outages_conv</vt:lpstr>
      <vt:lpstr>tech_renew</vt:lpstr>
      <vt:lpstr>tech_stor</vt:lpstr>
      <vt:lpstr>co2</vt:lpstr>
      <vt:lpstr>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Gams_Froehlich</dc:creator>
  <cp:lastModifiedBy>Pascal Fröhlich</cp:lastModifiedBy>
  <dcterms:created xsi:type="dcterms:W3CDTF">2024-09-17T09:01:26Z</dcterms:created>
  <dcterms:modified xsi:type="dcterms:W3CDTF">2026-06-01T07:18:43Z</dcterms:modified>
</cp:coreProperties>
</file>