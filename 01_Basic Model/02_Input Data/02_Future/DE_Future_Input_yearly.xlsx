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Competitiveness_of_RES\01_Basic Model\02_Input Data\02_Future\"/>
    </mc:Choice>
  </mc:AlternateContent>
  <xr:revisionPtr revIDLastSave="0" documentId="13_ncr:1_{E3DC39B7-F67D-45FF-AEE9-84D19A0926FF}" xr6:coauthVersionLast="47" xr6:coauthVersionMax="47" xr10:uidLastSave="{00000000-0000-0000-0000-000000000000}"/>
  <bookViews>
    <workbookView xWindow="38280" yWindow="45" windowWidth="38640" windowHeight="21120" activeTab="1" xr2:uid="{9BA085BD-A4BD-4D3B-9BBD-ABB9433EC046}"/>
  </bookViews>
  <sheets>
    <sheet name="fuel_conv" sheetId="1" r:id="rId1"/>
    <sheet name="fuel_renew" sheetId="2" r:id="rId2"/>
    <sheet name="tech_conv" sheetId="3" r:id="rId3"/>
    <sheet name="outages_conv" sheetId="8" r:id="rId4"/>
    <sheet name="tech_renew" sheetId="4" r:id="rId5"/>
    <sheet name="tech_stor" sheetId="5" r:id="rId6"/>
    <sheet name="co2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18" i="5" l="1"/>
  <c r="Q18" i="5"/>
  <c r="R18" i="5"/>
  <c r="S18" i="5"/>
  <c r="T18" i="5"/>
  <c r="U18" i="5"/>
  <c r="V18" i="5"/>
  <c r="W18" i="5"/>
  <c r="X18" i="5"/>
  <c r="P19" i="5"/>
  <c r="Q19" i="5"/>
  <c r="R19" i="5"/>
  <c r="S19" i="5"/>
  <c r="T19" i="5"/>
  <c r="U19" i="5"/>
  <c r="V19" i="5"/>
  <c r="W19" i="5"/>
  <c r="X19" i="5"/>
  <c r="O19" i="5"/>
  <c r="O18" i="5"/>
  <c r="F20" i="4" l="1"/>
  <c r="E20" i="4"/>
  <c r="C20" i="4"/>
</calcChain>
</file>

<file path=xl/sharedStrings.xml><?xml version="1.0" encoding="utf-8"?>
<sst xmlns="http://schemas.openxmlformats.org/spreadsheetml/2006/main" count="170" uniqueCount="47">
  <si>
    <t>fuelprice</t>
  </si>
  <si>
    <t>uranium</t>
  </si>
  <si>
    <t>lignite</t>
  </si>
  <si>
    <t>hardcoal</t>
  </si>
  <si>
    <t>gas</t>
  </si>
  <si>
    <t>solar</t>
  </si>
  <si>
    <t>wind</t>
  </si>
  <si>
    <t>hydro</t>
  </si>
  <si>
    <t>bioenergy</t>
  </si>
  <si>
    <t>waste</t>
  </si>
  <si>
    <t>otherres</t>
  </si>
  <si>
    <t>othergas</t>
  </si>
  <si>
    <t>nuclear</t>
  </si>
  <si>
    <t>ccgt</t>
  </si>
  <si>
    <t>ocgt</t>
  </si>
  <si>
    <t>solar1</t>
  </si>
  <si>
    <t>solar2</t>
  </si>
  <si>
    <t>solar3</t>
  </si>
  <si>
    <t>solar4</t>
  </si>
  <si>
    <t>windonshore1</t>
  </si>
  <si>
    <t>windonshore2</t>
  </si>
  <si>
    <t>windonshore3</t>
  </si>
  <si>
    <t>windonshore4</t>
  </si>
  <si>
    <t>windoffshore</t>
  </si>
  <si>
    <t>runofriver</t>
  </si>
  <si>
    <t>reservoir</t>
  </si>
  <si>
    <t>geothermal</t>
  </si>
  <si>
    <t>marine</t>
  </si>
  <si>
    <t>pumpstorage</t>
  </si>
  <si>
    <t>battery</t>
  </si>
  <si>
    <t>carbonprice</t>
  </si>
  <si>
    <t>efficiency</t>
  </si>
  <si>
    <t>gmin</t>
  </si>
  <si>
    <t>lifetime_eco</t>
  </si>
  <si>
    <t>covernight</t>
  </si>
  <si>
    <t>startup_fuelconsumption</t>
  </si>
  <si>
    <t>startup_fixcost</t>
  </si>
  <si>
    <t>avail</t>
  </si>
  <si>
    <t>carboncontent</t>
  </si>
  <si>
    <t>renew_disp</t>
  </si>
  <si>
    <t>renew_curt</t>
  </si>
  <si>
    <t>covernight_kW</t>
  </si>
  <si>
    <t>covernight_MWh</t>
  </si>
  <si>
    <t>storageduration</t>
  </si>
  <si>
    <t>discharge_to_charge_ratio</t>
  </si>
  <si>
    <t>cvarom MWh</t>
  </si>
  <si>
    <t>*cfix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</si>
</sst>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164" formatCode="_-* #,##0.00\ _€_-;\-* #,##0.00\ _€_-;_-* &quot;-&quot;??\ _€_-;_-@_-"/>
    <numFmt numFmtId="165" formatCode="_-* #,##0\ _€_-;\-* #,##0\ _€_-;_-* &quot;-&quot;??\ _€_-;_-@_-"/>
    <numFmt numFmtId="169" formatCode="_-* #,##0.00_-;\-* #,##0.00_-;_-* &quot;-&quot;??_-;_-@_-"/>
    <numFmt numFmtId="171" formatCode="[$-1010809]dd/mm/yyyy"/>
    <numFmt numFmtId="173" formatCode="_-* #,##0.00\ &quot;DM&quot;_-;\-* #,##0.00\ &quot;DM&quot;_-;_-* &quot;-&quot;??\ &quot;DM&quot;_-;_-@_-"/>
    <numFmt numFmtId="174" formatCode="_-* #,##0.00\ _D_M_-;\-* #,##0.00\ _D_M_-;_-* &quot;-&quot;??\ _D_M_-;_-@_-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Times New Roman"/>
      <family val="1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0"/>
      <name val="MS Sans Serif"/>
      <family val="2"/>
    </font>
    <font>
      <sz val="10"/>
      <name val="Arial"/>
      <family val="2"/>
    </font>
    <font>
      <sz val="10"/>
      <color indexed="72"/>
      <name val="MS Sans Serif"/>
      <family val="2"/>
    </font>
    <font>
      <b/>
      <sz val="13"/>
      <color indexed="56"/>
      <name val="Calibri"/>
      <family val="2"/>
    </font>
    <font>
      <b/>
      <sz val="15"/>
      <color indexed="56"/>
      <name val="Calibri"/>
      <family val="2"/>
    </font>
    <font>
      <sz val="10"/>
      <color rgb="FF006100"/>
      <name val="Verdana"/>
      <family val="2"/>
    </font>
    <font>
      <u/>
      <sz val="10"/>
      <color theme="10"/>
      <name val="Arial"/>
      <family val="2"/>
    </font>
    <font>
      <sz val="10"/>
      <color theme="1"/>
      <name val="Verdana"/>
      <family val="2"/>
    </font>
    <font>
      <sz val="12"/>
      <color rgb="FF000000"/>
      <name val="Calibri"/>
      <family val="2"/>
    </font>
    <font>
      <u/>
      <sz val="10"/>
      <color rgb="FF0000FF"/>
      <name val="MS Sans Serif"/>
    </font>
    <font>
      <u/>
      <sz val="12"/>
      <color rgb="FF0000FF"/>
      <name val="Calibri"/>
      <family val="2"/>
    </font>
    <font>
      <u/>
      <sz val="10"/>
      <color indexed="12"/>
      <name val="MS Sans Serif"/>
      <family val="2"/>
    </font>
    <font>
      <b/>
      <sz val="20"/>
      <name val="Calibri"/>
      <family val="2"/>
    </font>
    <font>
      <b/>
      <sz val="16"/>
      <name val="Calibri"/>
      <family val="2"/>
    </font>
    <font>
      <sz val="12"/>
      <name val="Calibri"/>
      <family val="2"/>
    </font>
    <font>
      <b/>
      <sz val="14"/>
      <name val="Calibri"/>
      <family val="2"/>
    </font>
    <font>
      <sz val="10"/>
      <color indexed="8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u/>
      <sz val="10"/>
      <color indexed="12"/>
      <name val="Arial"/>
      <family val="2"/>
    </font>
    <font>
      <sz val="11"/>
      <color indexed="8"/>
      <name val="Calibri"/>
      <family val="2"/>
      <scheme val="minor"/>
    </font>
    <font>
      <sz val="10"/>
      <color theme="1"/>
      <name val="Tahoma"/>
      <family val="2"/>
    </font>
    <font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</borders>
  <cellStyleXfs count="222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8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8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8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8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8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69" fontId="1" fillId="0" borderId="0" applyFont="0" applyFill="0" applyBorder="0" applyAlignment="0" applyProtection="0"/>
    <xf numFmtId="0" fontId="19" fillId="0" borderId="0"/>
    <xf numFmtId="169" fontId="19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9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26" fillId="2" borderId="0" applyNumberFormat="0" applyBorder="0" applyAlignment="0" applyProtection="0"/>
    <xf numFmtId="0" fontId="25" fillId="0" borderId="10" applyNumberFormat="0" applyFill="0" applyAlignment="0" applyProtection="0"/>
    <xf numFmtId="0" fontId="24" fillId="0" borderId="11" applyNumberFormat="0" applyFill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/>
    <xf numFmtId="0" fontId="1" fillId="0" borderId="0"/>
    <xf numFmtId="0" fontId="22" fillId="0" borderId="0">
      <alignment wrapText="1"/>
    </xf>
    <xf numFmtId="0" fontId="22" fillId="0" borderId="0">
      <alignment wrapText="1"/>
    </xf>
    <xf numFmtId="0" fontId="28" fillId="0" borderId="0"/>
    <xf numFmtId="0" fontId="1" fillId="0" borderId="0"/>
    <xf numFmtId="0" fontId="19" fillId="0" borderId="0"/>
    <xf numFmtId="0" fontId="1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2" fillId="0" borderId="0">
      <alignment wrapText="1"/>
    </xf>
    <xf numFmtId="0" fontId="19" fillId="0" borderId="0"/>
    <xf numFmtId="0" fontId="22" fillId="0" borderId="0"/>
    <xf numFmtId="0" fontId="21" fillId="0" borderId="0"/>
    <xf numFmtId="0" fontId="21" fillId="0" borderId="0"/>
    <xf numFmtId="171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9" fillId="0" borderId="0" applyNumberFormat="0" applyBorder="0" applyProtection="0">
      <alignment vertical="center" wrapText="1"/>
    </xf>
    <xf numFmtId="0" fontId="21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9" fontId="19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0" fillId="0" borderId="0" applyNumberFormat="0" applyFill="0" applyBorder="0" applyAlignment="0" applyProtection="0"/>
    <xf numFmtId="169" fontId="21" fillId="0" borderId="0" applyFont="0" applyFill="0" applyBorder="0" applyAlignment="0" applyProtection="0"/>
    <xf numFmtId="0" fontId="31" fillId="0" borderId="0" applyNumberFormat="0" applyFill="0" applyBorder="0" applyAlignment="0" applyProtection="0"/>
    <xf numFmtId="9" fontId="22" fillId="0" borderId="0" applyFont="0" applyFill="0" applyBorder="0" applyAlignment="0" applyProtection="0"/>
    <xf numFmtId="0" fontId="22" fillId="0" borderId="0"/>
    <xf numFmtId="0" fontId="21" fillId="0" borderId="0"/>
    <xf numFmtId="0" fontId="35" fillId="0" borderId="0">
      <alignment vertical="center"/>
    </xf>
    <xf numFmtId="0" fontId="22" fillId="0" borderId="0"/>
    <xf numFmtId="0" fontId="32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Protection="0"/>
    <xf numFmtId="0" fontId="34" fillId="0" borderId="0" applyNumberFormat="0" applyFill="0" applyProtection="0">
      <alignment horizontal="left"/>
    </xf>
    <xf numFmtId="0" fontId="33" fillId="0" borderId="0" applyNumberFormat="0" applyFill="0" applyProtection="0">
      <alignment horizontal="left" vertical="center"/>
    </xf>
    <xf numFmtId="169" fontId="22" fillId="0" borderId="0" applyFont="0" applyFill="0" applyBorder="0" applyAlignment="0" applyProtection="0"/>
    <xf numFmtId="0" fontId="22" fillId="0" borderId="0"/>
    <xf numFmtId="0" fontId="37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2" fillId="0" borderId="0">
      <alignment vertical="center"/>
    </xf>
    <xf numFmtId="169" fontId="22" fillId="0" borderId="0" applyFont="0" applyFill="0" applyBorder="0" applyAlignment="0" applyProtection="0"/>
    <xf numFmtId="0" fontId="38" fillId="4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169" fontId="1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39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22" fillId="0" borderId="0"/>
    <xf numFmtId="174" fontId="22" fillId="0" borderId="0" applyFon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22" fillId="0" borderId="0"/>
    <xf numFmtId="173" fontId="22" fillId="0" borderId="0" applyFont="0" applyFill="0" applyBorder="0" applyAlignment="0" applyProtection="0"/>
    <xf numFmtId="0" fontId="1" fillId="0" borderId="0"/>
    <xf numFmtId="0" fontId="22" fillId="0" borderId="0">
      <alignment vertical="center"/>
    </xf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3" fillId="0" borderId="0"/>
    <xf numFmtId="0" fontId="41" fillId="0" borderId="0"/>
    <xf numFmtId="0" fontId="42" fillId="0" borderId="0"/>
    <xf numFmtId="169" fontId="1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21" fillId="0" borderId="0" applyFont="0" applyFill="0" applyBorder="0" applyAlignment="0" applyProtection="0"/>
    <xf numFmtId="169" fontId="2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54">
    <xf numFmtId="0" fontId="0" fillId="0" borderId="0" xfId="0"/>
    <xf numFmtId="9" fontId="0" fillId="0" borderId="0" xfId="0" applyNumberFormat="1"/>
    <xf numFmtId="9" fontId="0" fillId="0" borderId="0" xfId="1" applyFont="1"/>
    <xf numFmtId="9" fontId="2" fillId="0" borderId="0" xfId="0" applyNumberFormat="1" applyFont="1"/>
    <xf numFmtId="9" fontId="2" fillId="0" borderId="0" xfId="1" applyFont="1"/>
    <xf numFmtId="165" fontId="0" fillId="0" borderId="0" xfId="2" applyNumberFormat="1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222">
    <cellStyle name="20 % - Akzent1" xfId="35" builtinId="30" customBuiltin="1"/>
    <cellStyle name="20 % - Akzent2" xfId="38" builtinId="34" customBuiltin="1"/>
    <cellStyle name="20 % - Akzent3" xfId="41" builtinId="38" customBuiltin="1"/>
    <cellStyle name="20 % - Akzent4" xfId="44" builtinId="42" customBuiltin="1"/>
    <cellStyle name="20 % - Akzent5" xfId="47" builtinId="46" customBuiltin="1"/>
    <cellStyle name="20 % - Akzent6" xfId="50" builtinId="50" customBuiltin="1"/>
    <cellStyle name="40 % - Akzent1" xfId="36" builtinId="31" customBuiltin="1"/>
    <cellStyle name="40 % - Akzent2" xfId="39" builtinId="35" customBuiltin="1"/>
    <cellStyle name="40 % - Akzent3" xfId="42" builtinId="39" customBuiltin="1"/>
    <cellStyle name="40 % - Akzent4" xfId="45" builtinId="43" customBuiltin="1"/>
    <cellStyle name="40 % - Akzent5" xfId="48" builtinId="47" customBuiltin="1"/>
    <cellStyle name="40 % - Akzent6" xfId="51" builtinId="51" customBuiltin="1"/>
    <cellStyle name="60 % - Akzent1 2" xfId="150" xr:uid="{A561AF21-1B25-41C6-B83B-E0279F71E287}"/>
    <cellStyle name="60 % - Akzent2 2" xfId="151" xr:uid="{AF206DBA-A73C-48B7-B6A5-53153DFBD462}"/>
    <cellStyle name="60 % - Akzent3 2" xfId="152" xr:uid="{68DCD30B-0321-48E4-8AF9-D395CD312DFB}"/>
    <cellStyle name="60 % - Akzent4 2" xfId="153" xr:uid="{18732857-444C-48F4-B281-ECAED06BF7FD}"/>
    <cellStyle name="60 % - Akzent5 2" xfId="154" xr:uid="{4FA49055-48F4-47CE-AD26-E3DE5EFBEF52}"/>
    <cellStyle name="60 % - Akzent6 2" xfId="155" xr:uid="{14544BAC-2944-43DD-8098-714911A5BD2D}"/>
    <cellStyle name="Akzent1" xfId="34" builtinId="29" customBuiltin="1"/>
    <cellStyle name="Akzent2" xfId="37" builtinId="33" customBuiltin="1"/>
    <cellStyle name="Akzent3" xfId="40" builtinId="37" customBuiltin="1"/>
    <cellStyle name="Akzent4" xfId="43" builtinId="41" customBuiltin="1"/>
    <cellStyle name="Akzent5" xfId="46" builtinId="45" customBuiltin="1"/>
    <cellStyle name="Akzent6" xfId="49" builtinId="49" customBuiltin="1"/>
    <cellStyle name="Ausgabe" xfId="26" builtinId="21" customBuiltin="1"/>
    <cellStyle name="Berechnung" xfId="27" builtinId="22" customBuiltin="1"/>
    <cellStyle name="Comma 11" xfId="131" xr:uid="{341EAADA-8DA2-4C81-BDD2-E361FA772EAF}"/>
    <cellStyle name="Comma 11 2" xfId="201" xr:uid="{8F1C90F4-27AF-42E7-8CF3-A3A94FFF9F85}"/>
    <cellStyle name="Comma 2" xfId="55" xr:uid="{400F1DB3-DC87-48E1-A973-51378D66634C}"/>
    <cellStyle name="Comma 2 10" xfId="182" xr:uid="{D6A4A637-AA32-47AA-9DA4-44E8EB399AF5}"/>
    <cellStyle name="Comma 2 2" xfId="56" xr:uid="{F86EED8F-777B-4921-8BD8-2B718B1CF98E}"/>
    <cellStyle name="Comma 2 2 2" xfId="183" xr:uid="{8A67292C-6E42-4831-8C23-55CACA027515}"/>
    <cellStyle name="Comma 2 3" xfId="57" xr:uid="{A8499C8C-3B91-481B-B4F7-600DA3BD628C}"/>
    <cellStyle name="Comma 2 3 2" xfId="58" xr:uid="{D7FE309F-EEAB-44BD-A68E-A441392F4F99}"/>
    <cellStyle name="Comma 2 3 2 2" xfId="185" xr:uid="{4BE97BC1-5FD0-46AC-AE02-54CA063AB3DA}"/>
    <cellStyle name="Comma 2 3 3" xfId="184" xr:uid="{709FEBF2-0EA7-4E6E-AF4B-20A26590B5B5}"/>
    <cellStyle name="Comma 2 4" xfId="59" xr:uid="{02BEF201-3B55-42B3-B4AB-61B3DEAC0EDE}"/>
    <cellStyle name="Comma 2 4 2" xfId="186" xr:uid="{88E0D09A-1775-49D6-95AA-9CDB8A275981}"/>
    <cellStyle name="Comma 2 5" xfId="60" xr:uid="{F7CCD8DF-99CB-4163-88C0-CB277F26C5A9}"/>
    <cellStyle name="Comma 2 5 2" xfId="187" xr:uid="{BD47C918-3071-448E-AF26-AB34E657703C}"/>
    <cellStyle name="Comma 2 6" xfId="61" xr:uid="{AF563139-C222-427A-B178-5ED36A2431E3}"/>
    <cellStyle name="Comma 2 6 2" xfId="188" xr:uid="{33A81FCF-C6B3-4E59-88DE-0B24A2A00ACF}"/>
    <cellStyle name="Comma 2 7" xfId="62" xr:uid="{CB3423D9-B920-45EB-8CF1-B26A99ACC6A8}"/>
    <cellStyle name="Comma 2 7 2" xfId="189" xr:uid="{1FF820E1-7630-411C-985F-54F20B40E639}"/>
    <cellStyle name="Comma 2 8" xfId="63" xr:uid="{A645C93D-2A93-4EC0-B39B-B6194939B58B}"/>
    <cellStyle name="Comma 2 8 2" xfId="190" xr:uid="{03D9B4BE-085C-4BE0-8225-7343D99B4AEF}"/>
    <cellStyle name="Comma 2 9" xfId="64" xr:uid="{044DB7C7-1E8D-4ACF-8097-E5FDC12E58B2}"/>
    <cellStyle name="Comma 2 9 2" xfId="191" xr:uid="{5B69667D-A940-470F-88B8-3524211773C6}"/>
    <cellStyle name="Comma 3" xfId="65" xr:uid="{C8CECC75-FFF6-4801-B777-7A2CE11CDFB0}"/>
    <cellStyle name="Comma 3 2" xfId="66" xr:uid="{FDE879B8-76E0-4434-832F-A452050DB684}"/>
    <cellStyle name="Comma 3 2 2" xfId="193" xr:uid="{1270D171-B5FE-4D4A-A52B-4ABA31AB879B}"/>
    <cellStyle name="Comma 3 3" xfId="192" xr:uid="{1E0B5357-AA4E-4A43-B176-CD4FA3602159}"/>
    <cellStyle name="Comma 4" xfId="67" xr:uid="{42383F27-32D8-4C12-996C-9CEA738D5266}"/>
    <cellStyle name="Comma 4 2" xfId="68" xr:uid="{3F1BDD3E-DDAC-45BE-8089-7B8E88D68CB7}"/>
    <cellStyle name="Comma 4 2 2" xfId="172" xr:uid="{4C46288E-6FD1-4152-BD07-A7A69F70137E}"/>
    <cellStyle name="Comma 4 2 2 2" xfId="217" xr:uid="{30D213E9-3F68-48C4-B788-69DCFAAA45AA}"/>
    <cellStyle name="Comma 4 2 3" xfId="206" xr:uid="{6EFEA26B-5A3D-4AE9-AEC5-B34F730045BB}"/>
    <cellStyle name="Comma 4 3" xfId="171" xr:uid="{CE0368F0-B754-4C06-9293-0FB4878EF231}"/>
    <cellStyle name="Comma 4 3 2" xfId="216" xr:uid="{9B7D06BB-AD5D-444E-9025-7CA5C8DFCA1C}"/>
    <cellStyle name="Comma 4 4" xfId="205" xr:uid="{F59CFD72-D592-41B6-BB49-49CF0E30029A}"/>
    <cellStyle name="Comma 5" xfId="69" xr:uid="{1F93F990-AEC9-45D2-AC01-59BEDE8B02B0}"/>
    <cellStyle name="Comma 5 2" xfId="70" xr:uid="{963ADEFC-6064-4159-9877-8F53A6BA92CB}"/>
    <cellStyle name="Comma 5 2 2" xfId="195" xr:uid="{AB2377C4-7B23-4E06-8042-1F8DE94CD33F}"/>
    <cellStyle name="Comma 5 3" xfId="194" xr:uid="{1CD603B4-A037-4EA3-9DEC-D7D4FCB46AA1}"/>
    <cellStyle name="Comma 6" xfId="71" xr:uid="{7A96048E-C34A-48F0-97A5-724AD1F271A8}"/>
    <cellStyle name="Comma 6 2" xfId="72" xr:uid="{79245297-BED7-45BE-A106-E362AC506235}"/>
    <cellStyle name="Comma 6 2 2" xfId="197" xr:uid="{AE20E883-2B6D-48B7-9E3C-ED3BC0C3A5DA}"/>
    <cellStyle name="Comma 6 3" xfId="73" xr:uid="{3F252B6F-C9CF-437D-83E4-5A1EAF3DC869}"/>
    <cellStyle name="Comma 6 3 2" xfId="198" xr:uid="{06C5B3A3-5544-4544-ADB4-B4817ABA5612}"/>
    <cellStyle name="Comma 6 4" xfId="196" xr:uid="{506C6270-3C92-4A37-B8B2-9AC29B18198E}"/>
    <cellStyle name="Comma 7" xfId="74" xr:uid="{0A209EF4-0273-4BA5-AA47-CA67FF243486}"/>
    <cellStyle name="Comma 7 2" xfId="199" xr:uid="{D83945D1-233C-4D4A-85A2-280DD05EDBA1}"/>
    <cellStyle name="Comma 8" xfId="75" xr:uid="{9BB6C062-74ED-4EBF-9F24-DE17EC71508C}"/>
    <cellStyle name="Comma 8 2" xfId="200" xr:uid="{F45B88D3-96E7-4CD3-B340-613D73B24720}"/>
    <cellStyle name="Eingabe" xfId="25" builtinId="20" customBuiltin="1"/>
    <cellStyle name="Ergebnis" xfId="33" builtinId="25" customBuiltin="1"/>
    <cellStyle name="Erklärender Text" xfId="32" builtinId="53" customBuiltin="1"/>
    <cellStyle name="Good 2" xfId="76" xr:uid="{E4A52A2E-DCCB-437C-B836-F5911F2FC106}"/>
    <cellStyle name="Gut" xfId="23" builtinId="26" customBuiltin="1"/>
    <cellStyle name="Heading 1 2" xfId="77" xr:uid="{98D295B5-C1CE-44C8-9972-4B77856D2960}"/>
    <cellStyle name="Heading 2 2" xfId="78" xr:uid="{49102A2A-1DB5-403F-ABA2-74666D95ADE5}"/>
    <cellStyle name="Hyperlink 2" xfId="80" xr:uid="{9311D0EF-E87C-44E2-8E7B-25B733931E01}"/>
    <cellStyle name="Hyperlink 2 2" xfId="138" xr:uid="{921DFD49-486E-45AB-B0BA-1F3F56A39CC6}"/>
    <cellStyle name="Hyperlink 2 3" xfId="130" xr:uid="{90893881-3D81-411B-83A5-910A6DAE06D5}"/>
    <cellStyle name="Hyperlink 2 3 2" xfId="132" xr:uid="{A52287F1-4316-4194-B60A-5698FF76C98C}"/>
    <cellStyle name="Hyperlink 3" xfId="81" xr:uid="{682F7230-50B4-4AE6-8F24-B560A12329F9}"/>
    <cellStyle name="Komma 2" xfId="2" xr:uid="{AF1FA308-5BB0-4765-9052-001723E4E16E}"/>
    <cellStyle name="Komma 2 2" xfId="6" xr:uid="{546B1FA4-ED3D-4CCF-BFB1-6934F261636D}"/>
    <cellStyle name="Komma 2 2 2" xfId="7" xr:uid="{C0449768-2484-446A-AB6E-F20247C009BA}"/>
    <cellStyle name="Komma 2 2 2 2" xfId="9" xr:uid="{87EADEA1-1609-457D-98AF-3D679CF76F67}"/>
    <cellStyle name="Komma 2 2 2 2 2" xfId="146" xr:uid="{868C18F1-C744-421E-A9F2-72A877EE1467}"/>
    <cellStyle name="Komma 2 2 2 2 2 2" xfId="176" xr:uid="{16110CBB-6A72-4E38-B06C-EB982407B928}"/>
    <cellStyle name="Komma 2 2 2 2 2 2 2" xfId="221" xr:uid="{B4EB86A8-4FBE-4723-955E-0F9BE14FA135}"/>
    <cellStyle name="Komma 2 2 2 2 2 3" xfId="210" xr:uid="{D7E6CB5A-18A0-4C91-B2A3-BD3F03C4E84C}"/>
    <cellStyle name="Komma 2 2 2 2 3" xfId="170" xr:uid="{A16B0968-2409-4B2C-9E75-4508C2AB1E9B}"/>
    <cellStyle name="Komma 2 2 2 2 3 2" xfId="215" xr:uid="{932FB35D-4881-4C80-9F95-9BB093F61776}"/>
    <cellStyle name="Komma 2 2 2 2 4" xfId="204" xr:uid="{1A094991-4803-4E41-B80E-328C65CCBC62}"/>
    <cellStyle name="Komma 2 2 2 3" xfId="11" xr:uid="{87EADEA1-1609-457D-98AF-3D679CF76F67}"/>
    <cellStyle name="Komma 2 2 2 3 2" xfId="174" xr:uid="{AC9F418E-B252-4F8B-BBCB-175CB0294BCA}"/>
    <cellStyle name="Komma 2 2 2 3 2 2" xfId="219" xr:uid="{2F55B75A-F868-4525-82D8-6188FD7734B6}"/>
    <cellStyle name="Komma 2 2 2 3 3" xfId="208" xr:uid="{9687EBC5-A05E-4F1F-9C62-26B50E65C380}"/>
    <cellStyle name="Komma 2 2 2 4" xfId="13" xr:uid="{87EADEA1-1609-457D-98AF-3D679CF76F67}"/>
    <cellStyle name="Komma 2 2 2 4 2" xfId="213" xr:uid="{AB858B1B-25B4-42F4-96CF-C291F13ED4C8}"/>
    <cellStyle name="Komma 2 2 2 5" xfId="15" xr:uid="{87EADEA1-1609-457D-98AF-3D679CF76F67}"/>
    <cellStyle name="Komma 2 2 2 6" xfId="17" xr:uid="{87EADEA1-1609-457D-98AF-3D679CF76F67}"/>
    <cellStyle name="Komma 2 2 3" xfId="157" xr:uid="{EE84FF7F-362F-463D-8672-F789E9B89858}"/>
    <cellStyle name="Komma 2 2 3 2" xfId="180" xr:uid="{0F8A9B17-2DF6-4350-85E3-0F3C02CC2E10}"/>
    <cellStyle name="Komma 2 2 4" xfId="52" xr:uid="{CAEE5D63-6EA0-470C-B5E5-4ACB003CB7D1}"/>
    <cellStyle name="Komma 2 3" xfId="8" xr:uid="{D78E7949-E497-4216-AFE6-65271F7AA945}"/>
    <cellStyle name="Komma 2 3 2" xfId="145" xr:uid="{B256EDE2-90FC-41AF-B58E-C0C45AB8BD14}"/>
    <cellStyle name="Komma 2 3 2 2" xfId="175" xr:uid="{D5313480-F912-4434-8BD6-A15FC88E7FD1}"/>
    <cellStyle name="Komma 2 3 2 2 2" xfId="220" xr:uid="{A5FE03C3-1E71-411B-A4B3-8FA19D8EF7D1}"/>
    <cellStyle name="Komma 2 3 2 3" xfId="209" xr:uid="{847EA196-C477-4252-B841-C101141EC2E3}"/>
    <cellStyle name="Komma 2 3 3" xfId="158" xr:uid="{22CDAA0E-9960-41BC-BDDC-29AA3ECFEDFC}"/>
    <cellStyle name="Komma 2 3 4" xfId="169" xr:uid="{0F3515C4-F126-4845-BF15-9948DB81FAF9}"/>
    <cellStyle name="Komma 2 3 4 2" xfId="214" xr:uid="{C9259D85-6E13-4449-9AB4-3EE3744EAC10}"/>
    <cellStyle name="Komma 2 3 5" xfId="203" xr:uid="{A73DB940-81FD-423E-93F4-5CD1DCE6CD7C}"/>
    <cellStyle name="Komma 2 4" xfId="10" xr:uid="{D78E7949-E497-4216-AFE6-65271F7AA945}"/>
    <cellStyle name="Komma 2 4 2" xfId="173" xr:uid="{11C6FD52-BF24-4B2F-8CE0-584C8FA39470}"/>
    <cellStyle name="Komma 2 4 2 2" xfId="218" xr:uid="{FCC0B6C7-68CA-4FA2-831A-40298B8A6E1B}"/>
    <cellStyle name="Komma 2 4 3" xfId="207" xr:uid="{0DC85B4A-7479-43C5-A6D2-07DCC271BE81}"/>
    <cellStyle name="Komma 2 5" xfId="12" xr:uid="{D78E7949-E497-4216-AFE6-65271F7AA945}"/>
    <cellStyle name="Komma 2 5 2" xfId="148" xr:uid="{67D13653-98D5-4BD9-BABF-D06E4C5D2660}"/>
    <cellStyle name="Komma 2 6" xfId="14" xr:uid="{D78E7949-E497-4216-AFE6-65271F7AA945}"/>
    <cellStyle name="Komma 2 6 2" xfId="212" xr:uid="{87AD2747-F1DE-4DBF-94CD-7B1D26818359}"/>
    <cellStyle name="Komma 2 7" xfId="16" xr:uid="{D78E7949-E497-4216-AFE6-65271F7AA945}"/>
    <cellStyle name="Komma 3" xfId="54" xr:uid="{09D47CEA-8F0A-482D-9682-689214D2807A}"/>
    <cellStyle name="Komma 3 2" xfId="156" xr:uid="{C49AC689-0450-46C8-BBD0-6144A4D415F9}"/>
    <cellStyle name="Komma 3 2 2" xfId="181" xr:uid="{C6D818F1-2276-4A0C-95C3-AA8ADBB2C240}"/>
    <cellStyle name="Komma 4" xfId="142" xr:uid="{9528749D-A4E1-4B4D-8973-123978130229}"/>
    <cellStyle name="Komma 4 2" xfId="160" xr:uid="{02DF60B7-DB7A-4B53-8E49-9BF015B64825}"/>
    <cellStyle name="Komma 4 2 2" xfId="202" xr:uid="{B18FF7AB-D510-4081-9814-D2C9CADAB3AD}"/>
    <cellStyle name="Komma 4 2 3" xfId="211" xr:uid="{48E5D98D-FA60-4C98-A6A4-C71E0EAAEB26}"/>
    <cellStyle name="Komma 5" xfId="162" xr:uid="{10FAD776-A812-40DC-BA7D-EC4DCB5244AB}"/>
    <cellStyle name="Link 2" xfId="79" xr:uid="{8CB2C7F6-9C1F-4618-AB3E-ED672A39F44E}"/>
    <cellStyle name="Link 2 2" xfId="163" xr:uid="{29DAFEE6-FAB3-4120-A47B-FBC24ADA3A85}"/>
    <cellStyle name="Neutral 2" xfId="149" xr:uid="{A23AA3D9-DF94-4321-99A1-D5F457C5365E}"/>
    <cellStyle name="Normal 10" xfId="82" xr:uid="{87E3B077-8E96-4AAF-B7D7-F6A89293BB2D}"/>
    <cellStyle name="Normal 11" xfId="83" xr:uid="{40FB180A-1151-4000-B048-69F3E5C1DE3A}"/>
    <cellStyle name="Normal 12" xfId="84" xr:uid="{7E8BBBAC-804F-4EEE-B5A9-F54893C2E48B}"/>
    <cellStyle name="Normal 13" xfId="85" xr:uid="{BDA02F26-3E91-4887-B130-3CB211AC59AA}"/>
    <cellStyle name="Normal 14" xfId="86" xr:uid="{275A191E-8B2A-4428-B5C9-E4F69AB8F161}"/>
    <cellStyle name="Normal 15" xfId="87" xr:uid="{0373B41A-AF79-4D98-9849-F635AA691E17}"/>
    <cellStyle name="Normal 16" xfId="88" xr:uid="{6B45D75E-0540-4F63-BB19-D4F0C7FF1C22}"/>
    <cellStyle name="Normal 17" xfId="89" xr:uid="{58435A0C-1C4F-45CD-A68B-7E70879AFBD3}"/>
    <cellStyle name="Normal 17 2" xfId="90" xr:uid="{261DFD6B-26F3-47C0-B1C4-CC0278C149DC}"/>
    <cellStyle name="Normal 2" xfId="4" xr:uid="{098744FE-9844-4518-A91E-00A8F4258A86}"/>
    <cellStyle name="Normal 2 2" xfId="5" xr:uid="{FCD300CD-8039-44DF-B12D-F1531F7C3F26}"/>
    <cellStyle name="Normal 2 2 2" xfId="92" xr:uid="{845BE8A0-AF84-4349-808D-5F74E1C5F519}"/>
    <cellStyle name="Normal 2 3" xfId="93" xr:uid="{26DAC670-3DBB-40C0-A178-17199513AD18}"/>
    <cellStyle name="Normal 2 4" xfId="94" xr:uid="{099B2265-7963-43D4-93CC-A4CA52D10A10}"/>
    <cellStyle name="Normal 2 5" xfId="91" xr:uid="{7A5E87BA-A0EB-4DE1-97EE-EB60399FD498}"/>
    <cellStyle name="Normal 2 6" xfId="137" xr:uid="{54D0880C-9705-4D9B-B774-7B70372045F1}"/>
    <cellStyle name="Normal 3" xfId="3" xr:uid="{FA51F745-E432-4830-B289-30C69457E580}"/>
    <cellStyle name="Normal 3 2" xfId="96" xr:uid="{87301416-CEBE-4CA1-9434-5C84BBEFC44F}"/>
    <cellStyle name="Normal 3 2 2" xfId="97" xr:uid="{CCC79148-E4FC-4F12-8DC3-7A6DD3CCBFE4}"/>
    <cellStyle name="Normal 3 3" xfId="98" xr:uid="{84E4F0A0-BB8A-467A-8E45-65F674D28B30}"/>
    <cellStyle name="Normal 3 4" xfId="99" xr:uid="{761D3256-4DC6-4AB5-B05B-C1A713B19003}"/>
    <cellStyle name="Normal 3 5" xfId="95" xr:uid="{D97A1B52-E8D7-4E28-ACCB-0FDD0CA9C1E6}"/>
    <cellStyle name="Normal 4" xfId="100" xr:uid="{859DB6FE-D4F1-4E21-B3EE-A329687BCDA2}"/>
    <cellStyle name="Normal 4 2" xfId="101" xr:uid="{D572C0DA-0347-4BC7-A734-4535BB5D6535}"/>
    <cellStyle name="Normal 4 2 2" xfId="102" xr:uid="{6BF4D395-9620-4E07-8CA1-F3C87DF59135}"/>
    <cellStyle name="Normal 4 3" xfId="103" xr:uid="{38ACCD26-7866-4992-93B5-65CB5D1218A6}"/>
    <cellStyle name="Normal 4 3 2" xfId="135" xr:uid="{996E6719-0AE8-4F27-AB58-BEF6D351D6B6}"/>
    <cellStyle name="Normal 4 4" xfId="104" xr:uid="{FB057024-2422-413F-AF3D-919DA7AF6949}"/>
    <cellStyle name="Normal 4 5" xfId="136" xr:uid="{35D7D294-8172-45DA-957A-56678E2DF766}"/>
    <cellStyle name="Normal 5" xfId="105" xr:uid="{FA5F6278-9CD6-44ED-AEFA-295B9D014A73}"/>
    <cellStyle name="Normal 5 2" xfId="106" xr:uid="{F1B2D6EE-D6AB-499E-9235-A5BF544A56F2}"/>
    <cellStyle name="Normal 6" xfId="107" xr:uid="{2CDD06CE-E9B5-4E57-AFEA-FCB9761AAD2A}"/>
    <cellStyle name="Normal 6 2" xfId="108" xr:uid="{59102BA4-CF0D-411A-A4AC-8FBF4F74579A}"/>
    <cellStyle name="Normal 7" xfId="109" xr:uid="{30BDE515-75E1-4E20-BE38-6E453E2D8ADE}"/>
    <cellStyle name="Normal 7 2" xfId="110" xr:uid="{47A89D66-E8E3-418D-9C4E-19E5F64436C4}"/>
    <cellStyle name="Normal 8" xfId="111" xr:uid="{ADB040F9-AFED-4CA4-B57A-54582F19A64E}"/>
    <cellStyle name="Normal 8 2" xfId="112" xr:uid="{C6E028DB-B05E-4A32-A7F5-F72D67AB0BD6}"/>
    <cellStyle name="Normal 8 3" xfId="113" xr:uid="{AD55282E-5F9E-457B-AD8F-BEB093706697}"/>
    <cellStyle name="Normal 8 4" xfId="114" xr:uid="{EC49BECC-652F-4F95-89F0-D3E76D31C8E2}"/>
    <cellStyle name="Normal 8 5" xfId="134" xr:uid="{5F75113F-2234-4403-902B-C71625177A9A}"/>
    <cellStyle name="Normal 9" xfId="115" xr:uid="{86ECC189-174D-4AA6-B023-7AAF42FF64E4}"/>
    <cellStyle name="Normal 9 2" xfId="116" xr:uid="{E0C3F1EB-C7EC-4847-A6BA-64825C8B8F71}"/>
    <cellStyle name="Normal 9 3" xfId="117" xr:uid="{95EA2052-D4F2-45BD-8F84-BE7CFD15D76A}"/>
    <cellStyle name="Notiz" xfId="31" builtinId="10" customBuiltin="1"/>
    <cellStyle name="Notiz 2" xfId="168" xr:uid="{61B549CB-1D29-4286-95EB-64DC0617339C}"/>
    <cellStyle name="Percent 2" xfId="119" xr:uid="{D4DD155A-9E3B-4922-9A1B-B521C4A7D7F3}"/>
    <cellStyle name="Percent 3" xfId="120" xr:uid="{D0EC5F9B-F614-461E-96B3-0D77A9475A29}"/>
    <cellStyle name="Percent 3 2" xfId="121" xr:uid="{E299C39E-C3D0-481A-9575-2EAF29D045EA}"/>
    <cellStyle name="Percent 4" xfId="122" xr:uid="{89616573-1386-4DFB-962F-D14B2C0FF370}"/>
    <cellStyle name="Percent 4 2" xfId="123" xr:uid="{D6E42022-3346-41D8-907E-84933609403E}"/>
    <cellStyle name="Percent 5" xfId="124" xr:uid="{6DCFE8BD-D17B-4FB0-92D2-5C6AF4FDCA6F}"/>
    <cellStyle name="Percent 5 2" xfId="125" xr:uid="{746B5A5A-B00F-42C4-83FA-B33F7BD1CF6B}"/>
    <cellStyle name="Percent 6" xfId="126" xr:uid="{808D62D6-DF3C-40F4-9530-9FA368DF5966}"/>
    <cellStyle name="Percent 6 2" xfId="127" xr:uid="{BD79AFED-D3E0-45E8-8532-2A49D29DEF8D}"/>
    <cellStyle name="Percent 6 3" xfId="128" xr:uid="{5EC9DF2B-E127-4FB9-8C4D-25A1C5BEBFC7}"/>
    <cellStyle name="Percent 7" xfId="129" xr:uid="{37B862EA-9687-4D5E-BBED-7459ECA41646}"/>
    <cellStyle name="Prozent" xfId="1" builtinId="5"/>
    <cellStyle name="Prozent 2" xfId="118" xr:uid="{D51F5D9B-8CA7-43E9-A3C1-F5F242C9F870}"/>
    <cellStyle name="Prozent 3" xfId="133" xr:uid="{6FD1F7CB-7B8B-4AB5-9C0F-3EBD9640C461}"/>
    <cellStyle name="Schlecht" xfId="24" builtinId="27" customBuiltin="1"/>
    <cellStyle name="Standard" xfId="0" builtinId="0"/>
    <cellStyle name="Standard 2" xfId="53" xr:uid="{09688088-67F1-4CCD-BAB8-662F3344F479}"/>
    <cellStyle name="Standard 2 2" xfId="167" xr:uid="{158ECFB9-CB4C-493F-8610-AF3E1277CC01}"/>
    <cellStyle name="Standard 2 2 2" xfId="178" xr:uid="{D5C14800-72C9-4B34-BA80-12C25A2B2D4C}"/>
    <cellStyle name="Standard 2 3" xfId="164" xr:uid="{A0C76BB9-01DE-42D5-AC25-4EFDD1B7304B}"/>
    <cellStyle name="Standard 2 4" xfId="147" xr:uid="{908BD0CF-AB8B-4F82-A91D-503BC4324005}"/>
    <cellStyle name="Standard 3" xfId="143" xr:uid="{F5876E7B-9EC4-404C-B82F-CC9646492953}"/>
    <cellStyle name="Standard 3 2" xfId="166" xr:uid="{8A27AA64-B62A-4E73-83F6-14C208A4152F}"/>
    <cellStyle name="Standard 3 2 2" xfId="179" xr:uid="{94F47BA1-1834-4E68-91D2-A0E9E4F676E6}"/>
    <cellStyle name="Standard 4" xfId="144" xr:uid="{391B62B7-5AF5-4196-82E5-FD63B03CF618}"/>
    <cellStyle name="Standard 4 2" xfId="161" xr:uid="{65765353-F5CC-4BEB-AFA6-371824CFEF7B}"/>
    <cellStyle name="Standard 5" xfId="177" xr:uid="{E4979304-9B26-41FA-A0A9-C135B4499725}"/>
    <cellStyle name="Überschrift" xfId="18" builtinId="15" customBuiltin="1"/>
    <cellStyle name="Überschrift 1" xfId="19" builtinId="16" customBuiltin="1"/>
    <cellStyle name="Überschrift 1 2" xfId="141" xr:uid="{3D20306D-48B9-408A-90A3-5EECEA66AE62}"/>
    <cellStyle name="Überschrift 2" xfId="20" builtinId="17" customBuiltin="1"/>
    <cellStyle name="Überschrift 2 2" xfId="140" xr:uid="{2C518ACA-FBFF-457C-AC75-0AC1A71428DC}"/>
    <cellStyle name="Überschrift 3" xfId="21" builtinId="18" customBuiltin="1"/>
    <cellStyle name="Überschrift 3 2" xfId="139" xr:uid="{552ED4A8-A314-4A8F-85B4-9598F5BDE921}"/>
    <cellStyle name="Überschrift 4" xfId="22" builtinId="19" customBuiltin="1"/>
    <cellStyle name="Überschrift 5" xfId="159" xr:uid="{3601D786-9073-4458-9749-B340096208E8}"/>
    <cellStyle name="Verknüpfte Zelle" xfId="28" builtinId="24" customBuiltin="1"/>
    <cellStyle name="Währung 2" xfId="165" xr:uid="{5628D56A-D9C2-4467-8A35-619D9F8547F1}"/>
    <cellStyle name="Warnender Text" xfId="30" builtinId="11" customBuiltin="1"/>
    <cellStyle name="Zelle überprüfen" xfId="29" builtinId="23" customBuiltin="1"/>
  </cellStyles>
  <dxfs count="2"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</dxfs>
  <tableStyles count="1" defaultTableStyle="TableStyleMedium2" defaultPivotStyle="PivotStyleLight16">
    <tableStyle name="Table Style 1" pivot="0" count="2" xr9:uid="{A8198BE0-7EDE-4D78-BA25-EBD3A883C9B0}">
      <tableStyleElement type="firstColumnStripe" dxfId="1"/>
      <tableStyleElement type="second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1CE75-70D6-4C19-A2E6-F011C88AB99E}">
  <dimension ref="A4:W25"/>
  <sheetViews>
    <sheetView workbookViewId="0">
      <selection activeCell="I25" sqref="I25"/>
    </sheetView>
  </sheetViews>
  <sheetFormatPr baseColWidth="10" defaultColWidth="9.140625" defaultRowHeight="15" x14ac:dyDescent="0.25"/>
  <cols>
    <col min="12" max="12" width="7.85546875" bestFit="1" customWidth="1"/>
  </cols>
  <sheetData>
    <row r="4" spans="2:23" x14ac:dyDescent="0.25">
      <c r="B4" t="s">
        <v>0</v>
      </c>
      <c r="D4" t="s">
        <v>1</v>
      </c>
      <c r="E4" t="s">
        <v>2</v>
      </c>
      <c r="F4" t="s">
        <v>3</v>
      </c>
      <c r="G4" t="s">
        <v>4</v>
      </c>
    </row>
    <row r="5" spans="2:23" x14ac:dyDescent="0.25">
      <c r="C5">
        <v>2025</v>
      </c>
      <c r="D5" s="48">
        <v>4.25529007</v>
      </c>
      <c r="E5" s="48">
        <v>2.6816</v>
      </c>
      <c r="F5" s="48">
        <v>21.9</v>
      </c>
      <c r="G5" s="48">
        <v>35.985833333333332</v>
      </c>
      <c r="L5" s="19"/>
      <c r="M5" s="19"/>
      <c r="N5" s="19"/>
      <c r="O5" s="19"/>
      <c r="P5" s="19"/>
      <c r="Q5" s="19"/>
      <c r="R5" s="19"/>
      <c r="S5" s="19"/>
      <c r="T5" s="19"/>
      <c r="U5" s="19"/>
      <c r="V5" s="13"/>
      <c r="W5" s="13"/>
    </row>
    <row r="6" spans="2:23" x14ac:dyDescent="0.25">
      <c r="C6">
        <v>2030</v>
      </c>
      <c r="D6" s="49">
        <v>3.2319999999999993</v>
      </c>
      <c r="E6" s="50">
        <v>3.1009999999999991</v>
      </c>
      <c r="F6" s="51">
        <v>26.302999999999884</v>
      </c>
      <c r="G6" s="52">
        <v>32.632000000000062</v>
      </c>
      <c r="L6" s="20"/>
      <c r="M6" s="20"/>
      <c r="N6" s="20"/>
      <c r="O6" s="20"/>
      <c r="P6" s="20"/>
      <c r="Q6" s="20"/>
      <c r="R6" s="20"/>
      <c r="S6" s="20"/>
      <c r="T6" s="20"/>
      <c r="U6" s="20"/>
      <c r="V6" s="13"/>
      <c r="W6" s="13"/>
    </row>
    <row r="7" spans="2:23" x14ac:dyDescent="0.25">
      <c r="C7">
        <v>2035</v>
      </c>
      <c r="D7" s="49">
        <v>3.7390000000000043</v>
      </c>
      <c r="E7" s="50">
        <v>3.6844999999999857</v>
      </c>
      <c r="F7" s="51">
        <v>31.403499999999894</v>
      </c>
      <c r="G7" s="52">
        <v>37.153999999999996</v>
      </c>
      <c r="L7" s="7"/>
      <c r="M7" s="11"/>
      <c r="N7" s="11"/>
      <c r="O7" s="13"/>
      <c r="P7" s="13"/>
      <c r="Q7" s="13"/>
      <c r="R7" s="13"/>
      <c r="S7" s="13"/>
      <c r="T7" s="13"/>
      <c r="U7" s="13"/>
      <c r="V7" s="13"/>
      <c r="W7" s="13"/>
    </row>
    <row r="8" spans="2:23" x14ac:dyDescent="0.25">
      <c r="C8">
        <v>2040</v>
      </c>
      <c r="D8" s="49">
        <v>4.2459999999999809</v>
      </c>
      <c r="E8" s="50">
        <v>4.2679999999999723</v>
      </c>
      <c r="F8" s="51">
        <v>36.503999999999905</v>
      </c>
      <c r="G8" s="52">
        <v>41.675999999999931</v>
      </c>
      <c r="L8" s="11"/>
      <c r="M8" s="11"/>
      <c r="N8" s="11"/>
      <c r="O8" s="13"/>
      <c r="P8" s="13"/>
      <c r="Q8" s="13"/>
      <c r="R8" s="13"/>
      <c r="S8" s="13"/>
      <c r="T8" s="13"/>
      <c r="U8" s="13"/>
      <c r="V8" s="13"/>
      <c r="W8" s="13"/>
    </row>
    <row r="9" spans="2:23" x14ac:dyDescent="0.25">
      <c r="C9">
        <v>2045</v>
      </c>
      <c r="D9" s="49">
        <v>4.7529999999999859</v>
      </c>
      <c r="E9" s="50">
        <v>4.8514999999999873</v>
      </c>
      <c r="F9" s="51">
        <v>41.604499999999916</v>
      </c>
      <c r="G9" s="52">
        <v>46.198000000000093</v>
      </c>
      <c r="L9" s="11"/>
      <c r="M9" s="11"/>
      <c r="N9" s="11"/>
      <c r="O9" s="11"/>
      <c r="P9" s="8"/>
      <c r="Q9" s="8"/>
      <c r="R9" s="8"/>
      <c r="S9" s="8"/>
      <c r="T9" s="8"/>
    </row>
    <row r="10" spans="2:23" x14ac:dyDescent="0.25">
      <c r="C10">
        <v>2050</v>
      </c>
      <c r="D10" s="49">
        <v>5.2599999999999909</v>
      </c>
      <c r="E10" s="50">
        <v>5.4349999999999739</v>
      </c>
      <c r="F10" s="51">
        <v>46.704999999999927</v>
      </c>
      <c r="G10" s="52">
        <v>50.720000000000027</v>
      </c>
      <c r="J10" s="48"/>
      <c r="K10" s="48"/>
      <c r="L10" s="48"/>
      <c r="M10" s="48"/>
      <c r="N10" s="11"/>
      <c r="O10" s="11"/>
    </row>
    <row r="11" spans="2:23" x14ac:dyDescent="0.25">
      <c r="D11" s="18"/>
      <c r="E11" s="18"/>
      <c r="F11" s="19"/>
      <c r="G11" s="20"/>
      <c r="K11" s="48"/>
      <c r="L11" s="48"/>
      <c r="M11" s="48"/>
      <c r="N11" s="11"/>
      <c r="O11" s="11"/>
    </row>
    <row r="12" spans="2:23" x14ac:dyDescent="0.25">
      <c r="D12" s="18"/>
      <c r="E12" s="18"/>
      <c r="F12" s="19"/>
      <c r="G12" s="20"/>
      <c r="L12" s="11"/>
      <c r="M12" s="11"/>
      <c r="N12" s="11"/>
      <c r="O12" s="11"/>
    </row>
    <row r="13" spans="2:23" x14ac:dyDescent="0.25">
      <c r="D13" s="18"/>
      <c r="E13" s="18"/>
      <c r="F13" s="19"/>
      <c r="G13" s="20"/>
      <c r="L13" s="11"/>
      <c r="M13" s="11"/>
      <c r="N13" s="11"/>
      <c r="O13" s="11"/>
    </row>
    <row r="14" spans="2:23" x14ac:dyDescent="0.25">
      <c r="D14" s="18"/>
      <c r="E14" s="18"/>
      <c r="F14" s="19"/>
      <c r="G14" s="20"/>
      <c r="L14" s="11"/>
      <c r="M14" s="11"/>
      <c r="N14" s="11"/>
      <c r="O14" s="11"/>
    </row>
    <row r="15" spans="2:23" x14ac:dyDescent="0.25">
      <c r="L15" s="11"/>
      <c r="M15" s="11"/>
      <c r="N15" s="11"/>
      <c r="O15" s="11"/>
    </row>
    <row r="17" spans="1:15" x14ac:dyDescent="0.25">
      <c r="L17" s="11"/>
      <c r="M17" s="11"/>
      <c r="N17" s="11"/>
      <c r="O17" s="11"/>
    </row>
    <row r="18" spans="1:15" x14ac:dyDescent="0.25">
      <c r="L18" s="11"/>
      <c r="M18" s="11"/>
      <c r="N18" s="11"/>
      <c r="O18" s="11"/>
    </row>
    <row r="19" spans="1:15" x14ac:dyDescent="0.25">
      <c r="L19" s="11"/>
      <c r="M19" s="11"/>
      <c r="N19" s="11"/>
      <c r="O19" s="11"/>
    </row>
    <row r="20" spans="1:15" x14ac:dyDescent="0.25">
      <c r="L20" s="11"/>
      <c r="M20" s="11"/>
      <c r="N20" s="11"/>
      <c r="O20" s="11"/>
    </row>
    <row r="21" spans="1:15" x14ac:dyDescent="0.25">
      <c r="A21" t="s">
        <v>38</v>
      </c>
      <c r="L21" s="11"/>
      <c r="M21" s="11"/>
      <c r="N21" s="11"/>
      <c r="O21" s="11"/>
    </row>
    <row r="22" spans="1:15" x14ac:dyDescent="0.25">
      <c r="B22" t="s">
        <v>2</v>
      </c>
      <c r="C22">
        <v>0.38300000000000001</v>
      </c>
      <c r="L22" s="11"/>
      <c r="M22" s="11"/>
      <c r="N22" s="11"/>
      <c r="O22" s="11"/>
    </row>
    <row r="23" spans="1:15" x14ac:dyDescent="0.25">
      <c r="B23" t="s">
        <v>3</v>
      </c>
      <c r="C23">
        <v>0.33500000000000002</v>
      </c>
      <c r="L23" s="11"/>
      <c r="M23" s="11"/>
      <c r="N23" s="11"/>
      <c r="O23" s="11"/>
    </row>
    <row r="24" spans="1:15" x14ac:dyDescent="0.25">
      <c r="B24" t="s">
        <v>4</v>
      </c>
      <c r="C24">
        <v>0.20100000000000001</v>
      </c>
      <c r="L24" s="11"/>
      <c r="M24" s="11"/>
      <c r="N24" s="11"/>
      <c r="O24" s="11"/>
    </row>
    <row r="25" spans="1:15" x14ac:dyDescent="0.25">
      <c r="L25" s="11"/>
      <c r="M25" s="11"/>
      <c r="N25" s="11"/>
      <c r="O25" s="1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BAEC9-DD1D-41D4-AC07-D33C8D8DB1ED}">
  <dimension ref="A4:I18"/>
  <sheetViews>
    <sheetView tabSelected="1" workbookViewId="0">
      <selection activeCell="G22" sqref="G22"/>
    </sheetView>
  </sheetViews>
  <sheetFormatPr baseColWidth="10" defaultColWidth="9.140625" defaultRowHeight="15" x14ac:dyDescent="0.25"/>
  <sheetData>
    <row r="4" spans="1:9" x14ac:dyDescent="0.25">
      <c r="A4" t="s">
        <v>0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</row>
    <row r="5" spans="1:9" x14ac:dyDescent="0.25">
      <c r="B5">
        <v>2025</v>
      </c>
      <c r="C5">
        <v>0</v>
      </c>
      <c r="D5">
        <v>0</v>
      </c>
      <c r="E5">
        <v>0</v>
      </c>
      <c r="F5" s="53">
        <v>21.240000000000002</v>
      </c>
      <c r="G5">
        <v>0</v>
      </c>
      <c r="H5">
        <v>0</v>
      </c>
      <c r="I5">
        <v>0</v>
      </c>
    </row>
    <row r="6" spans="1:9" x14ac:dyDescent="0.25">
      <c r="B6">
        <v>2030</v>
      </c>
      <c r="C6">
        <v>0</v>
      </c>
      <c r="D6">
        <v>0</v>
      </c>
      <c r="E6">
        <v>0</v>
      </c>
      <c r="F6" s="53">
        <v>21.240000000000002</v>
      </c>
      <c r="G6">
        <v>0</v>
      </c>
      <c r="H6">
        <v>0</v>
      </c>
      <c r="I6">
        <v>0</v>
      </c>
    </row>
    <row r="7" spans="1:9" x14ac:dyDescent="0.25">
      <c r="B7" s="20">
        <v>2035</v>
      </c>
      <c r="C7">
        <v>0</v>
      </c>
      <c r="D7">
        <v>0</v>
      </c>
      <c r="E7">
        <v>0</v>
      </c>
      <c r="F7" s="53">
        <v>21.240000000000002</v>
      </c>
      <c r="G7">
        <v>0</v>
      </c>
      <c r="H7">
        <v>0</v>
      </c>
      <c r="I7">
        <v>0</v>
      </c>
    </row>
    <row r="8" spans="1:9" x14ac:dyDescent="0.25">
      <c r="B8" s="20">
        <v>2040</v>
      </c>
      <c r="C8">
        <v>0</v>
      </c>
      <c r="D8">
        <v>0</v>
      </c>
      <c r="E8">
        <v>0</v>
      </c>
      <c r="F8" s="53">
        <v>21.240000000000002</v>
      </c>
      <c r="G8">
        <v>0</v>
      </c>
      <c r="H8">
        <v>0</v>
      </c>
      <c r="I8">
        <v>0</v>
      </c>
    </row>
    <row r="9" spans="1:9" x14ac:dyDescent="0.25">
      <c r="B9" s="20">
        <v>2045</v>
      </c>
      <c r="C9">
        <v>0</v>
      </c>
      <c r="D9">
        <v>0</v>
      </c>
      <c r="E9">
        <v>0</v>
      </c>
      <c r="F9" s="53">
        <v>21.240000000000002</v>
      </c>
      <c r="G9">
        <v>0</v>
      </c>
      <c r="H9">
        <v>0</v>
      </c>
      <c r="I9">
        <v>0</v>
      </c>
    </row>
    <row r="10" spans="1:9" x14ac:dyDescent="0.25">
      <c r="B10" s="20">
        <v>2050</v>
      </c>
      <c r="C10">
        <v>0</v>
      </c>
      <c r="D10">
        <v>0</v>
      </c>
      <c r="E10">
        <v>0</v>
      </c>
      <c r="F10" s="53">
        <v>21.240000000000002</v>
      </c>
      <c r="G10">
        <v>0</v>
      </c>
      <c r="H10">
        <v>0</v>
      </c>
      <c r="I10">
        <v>0</v>
      </c>
    </row>
    <row r="11" spans="1:9" x14ac:dyDescent="0.25">
      <c r="B11">
        <v>2021</v>
      </c>
      <c r="C11">
        <v>0</v>
      </c>
      <c r="D11">
        <v>0</v>
      </c>
      <c r="E11">
        <v>0</v>
      </c>
      <c r="F11" s="53">
        <v>21.240000000000002</v>
      </c>
      <c r="G11">
        <v>0</v>
      </c>
      <c r="H11">
        <v>0</v>
      </c>
      <c r="I11">
        <v>0</v>
      </c>
    </row>
    <row r="12" spans="1:9" x14ac:dyDescent="0.25">
      <c r="B12">
        <v>2022</v>
      </c>
      <c r="C12">
        <v>0</v>
      </c>
      <c r="D12">
        <v>0</v>
      </c>
      <c r="E12">
        <v>0</v>
      </c>
      <c r="F12" s="53">
        <v>21.240000000000002</v>
      </c>
      <c r="G12">
        <v>0</v>
      </c>
      <c r="H12">
        <v>0</v>
      </c>
      <c r="I12">
        <v>0</v>
      </c>
    </row>
    <row r="13" spans="1:9" x14ac:dyDescent="0.25">
      <c r="B13">
        <v>2023</v>
      </c>
      <c r="C13">
        <v>0</v>
      </c>
      <c r="D13">
        <v>0</v>
      </c>
      <c r="E13">
        <v>0</v>
      </c>
      <c r="F13" s="53">
        <v>21.240000000000002</v>
      </c>
      <c r="G13">
        <v>0</v>
      </c>
      <c r="H13">
        <v>0</v>
      </c>
      <c r="I13">
        <v>0</v>
      </c>
    </row>
    <row r="14" spans="1:9" x14ac:dyDescent="0.25">
      <c r="B14">
        <v>2024</v>
      </c>
      <c r="C14" s="13">
        <v>0</v>
      </c>
      <c r="D14" s="13">
        <v>0</v>
      </c>
      <c r="E14" s="13">
        <v>0</v>
      </c>
      <c r="F14" s="53">
        <v>21.240000000000002</v>
      </c>
      <c r="G14" s="13">
        <v>0</v>
      </c>
      <c r="H14" s="13">
        <v>0</v>
      </c>
      <c r="I14" s="13">
        <v>0</v>
      </c>
    </row>
    <row r="16" spans="1:9" x14ac:dyDescent="0.25">
      <c r="A16" t="s">
        <v>38</v>
      </c>
    </row>
    <row r="17" spans="2:3" x14ac:dyDescent="0.25">
      <c r="B17" t="s">
        <v>8</v>
      </c>
      <c r="C17">
        <v>0</v>
      </c>
    </row>
    <row r="18" spans="2:3" x14ac:dyDescent="0.25">
      <c r="B18" t="s">
        <v>11</v>
      </c>
      <c r="C18">
        <v>0.23899999999999999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8A941-8ECB-48AC-B1FE-4E561D25CAD6}">
  <dimension ref="A4:Q27"/>
  <sheetViews>
    <sheetView workbookViewId="0">
      <selection activeCell="K31" sqref="K31"/>
    </sheetView>
  </sheetViews>
  <sheetFormatPr baseColWidth="10" defaultColWidth="9.140625" defaultRowHeight="15" x14ac:dyDescent="0.25"/>
  <cols>
    <col min="3" max="3" width="9.7109375" bestFit="1" customWidth="1"/>
    <col min="5" max="5" width="12.28515625" bestFit="1" customWidth="1"/>
    <col min="6" max="6" width="10.42578125" bestFit="1" customWidth="1"/>
    <col min="7" max="7" width="23.85546875" bestFit="1" customWidth="1"/>
    <col min="8" max="8" width="14.28515625" bestFit="1" customWidth="1"/>
    <col min="9" max="9" width="23.85546875" bestFit="1" customWidth="1"/>
    <col min="10" max="10" width="14.28515625" bestFit="1" customWidth="1"/>
  </cols>
  <sheetData>
    <row r="4" spans="1:14" x14ac:dyDescent="0.25">
      <c r="C4" t="s">
        <v>31</v>
      </c>
      <c r="D4" t="s">
        <v>32</v>
      </c>
      <c r="E4" t="s">
        <v>33</v>
      </c>
      <c r="F4" t="s">
        <v>46</v>
      </c>
      <c r="G4" t="s">
        <v>35</v>
      </c>
      <c r="H4" t="s">
        <v>36</v>
      </c>
    </row>
    <row r="5" spans="1:14" x14ac:dyDescent="0.25">
      <c r="B5" t="s">
        <v>12</v>
      </c>
      <c r="C5" s="3">
        <v>0.33300000000000002</v>
      </c>
      <c r="D5" s="1">
        <v>0.5</v>
      </c>
      <c r="E5" s="5">
        <v>60</v>
      </c>
      <c r="F5" s="5">
        <v>100</v>
      </c>
      <c r="G5">
        <v>16.7</v>
      </c>
      <c r="H5">
        <v>50</v>
      </c>
      <c r="M5" t="s">
        <v>12</v>
      </c>
      <c r="N5" t="s">
        <v>1</v>
      </c>
    </row>
    <row r="6" spans="1:14" x14ac:dyDescent="0.25">
      <c r="B6" t="s">
        <v>2</v>
      </c>
      <c r="C6" s="3">
        <v>0.439</v>
      </c>
      <c r="D6" s="1">
        <v>0.4</v>
      </c>
      <c r="E6" s="5">
        <v>40</v>
      </c>
      <c r="F6" s="5">
        <v>60</v>
      </c>
      <c r="G6">
        <v>5.9</v>
      </c>
      <c r="H6">
        <v>49</v>
      </c>
      <c r="M6" t="s">
        <v>2</v>
      </c>
      <c r="N6" t="s">
        <v>2</v>
      </c>
    </row>
    <row r="7" spans="1:14" x14ac:dyDescent="0.25">
      <c r="B7" t="s">
        <v>3</v>
      </c>
      <c r="C7" s="3">
        <v>0.46200000000000002</v>
      </c>
      <c r="D7" s="1">
        <v>0.38</v>
      </c>
      <c r="E7" s="5">
        <v>40</v>
      </c>
      <c r="F7" s="5">
        <v>50</v>
      </c>
      <c r="G7">
        <v>5.9</v>
      </c>
      <c r="H7">
        <v>49</v>
      </c>
      <c r="M7" t="s">
        <v>3</v>
      </c>
      <c r="N7" t="s">
        <v>3</v>
      </c>
    </row>
    <row r="8" spans="1:14" x14ac:dyDescent="0.25">
      <c r="B8" t="s">
        <v>13</v>
      </c>
      <c r="C8" s="3">
        <v>0.60499999999999998</v>
      </c>
      <c r="D8" s="1">
        <v>0.45</v>
      </c>
      <c r="E8" s="5">
        <v>30</v>
      </c>
      <c r="F8" s="5">
        <v>20</v>
      </c>
      <c r="G8">
        <v>2.8</v>
      </c>
      <c r="H8">
        <v>60</v>
      </c>
      <c r="M8" t="s">
        <v>13</v>
      </c>
      <c r="N8" t="s">
        <v>4</v>
      </c>
    </row>
    <row r="9" spans="1:14" x14ac:dyDescent="0.25">
      <c r="B9" t="s">
        <v>14</v>
      </c>
      <c r="C9" s="4">
        <v>0.41199999999999998</v>
      </c>
      <c r="D9" s="2">
        <v>0.2</v>
      </c>
      <c r="E9" s="5">
        <v>30</v>
      </c>
      <c r="F9" s="5">
        <v>15</v>
      </c>
      <c r="G9">
        <v>0.1</v>
      </c>
      <c r="H9">
        <v>24</v>
      </c>
      <c r="M9" t="s">
        <v>14</v>
      </c>
      <c r="N9" t="s">
        <v>4</v>
      </c>
    </row>
    <row r="11" spans="1:14" x14ac:dyDescent="0.25">
      <c r="C11" s="4"/>
    </row>
    <row r="12" spans="1:14" x14ac:dyDescent="0.25">
      <c r="A12" t="s">
        <v>34</v>
      </c>
      <c r="C12">
        <v>2025</v>
      </c>
      <c r="D12">
        <v>2030</v>
      </c>
      <c r="E12" s="20">
        <v>2035</v>
      </c>
      <c r="F12" s="20">
        <v>2040</v>
      </c>
      <c r="G12" s="20">
        <v>2045</v>
      </c>
      <c r="H12" s="20">
        <v>2050</v>
      </c>
      <c r="I12">
        <v>2021</v>
      </c>
      <c r="J12">
        <v>2022</v>
      </c>
      <c r="K12">
        <v>2023</v>
      </c>
      <c r="L12">
        <v>2024</v>
      </c>
    </row>
    <row r="13" spans="1:14" x14ac:dyDescent="0.25">
      <c r="B13" t="s">
        <v>12</v>
      </c>
      <c r="C13" s="29">
        <v>9103.7199999999721</v>
      </c>
      <c r="D13" s="29">
        <v>9103.7199999999721</v>
      </c>
      <c r="E13" s="29">
        <v>9103.7199999999721</v>
      </c>
      <c r="F13" s="29">
        <v>9103.7199999999721</v>
      </c>
      <c r="G13" s="29">
        <v>9103.7199999999721</v>
      </c>
      <c r="H13" s="29">
        <v>9103.7199999999721</v>
      </c>
      <c r="I13" s="29">
        <v>9103.7199999999721</v>
      </c>
      <c r="J13" s="29">
        <v>9103.7199999999721</v>
      </c>
      <c r="K13" s="29">
        <v>9103.7199999999721</v>
      </c>
      <c r="L13" s="29">
        <v>9103.7199999999721</v>
      </c>
    </row>
    <row r="14" spans="1:14" x14ac:dyDescent="0.25">
      <c r="B14" t="s">
        <v>2</v>
      </c>
      <c r="C14" s="31">
        <v>3199.1199999999953</v>
      </c>
      <c r="D14" s="38">
        <v>3199.1199999999953</v>
      </c>
      <c r="E14" s="38">
        <v>3199.1199999999953</v>
      </c>
      <c r="F14" s="38">
        <v>3199.1199999999953</v>
      </c>
      <c r="G14" s="38">
        <v>3199.1199999999953</v>
      </c>
      <c r="H14" s="38">
        <v>3199.1199999999953</v>
      </c>
      <c r="I14" s="38">
        <v>3199.1199999999953</v>
      </c>
      <c r="J14" s="38">
        <v>3199.1199999999953</v>
      </c>
      <c r="K14" s="38">
        <v>3199.1199999999953</v>
      </c>
      <c r="L14" s="38">
        <v>3199.1199999999953</v>
      </c>
    </row>
    <row r="15" spans="1:14" x14ac:dyDescent="0.25">
      <c r="B15" t="s">
        <v>3</v>
      </c>
      <c r="C15" s="33">
        <v>3828.4799999999814</v>
      </c>
      <c r="D15" s="38">
        <v>3828.4799999999814</v>
      </c>
      <c r="E15" s="38">
        <v>3828.4799999999814</v>
      </c>
      <c r="F15" s="38">
        <v>3828.4799999999814</v>
      </c>
      <c r="G15" s="38">
        <v>3828.4799999999814</v>
      </c>
      <c r="H15" s="38">
        <v>3828.4799999999814</v>
      </c>
      <c r="I15" s="38">
        <v>3828.4799999999814</v>
      </c>
      <c r="J15" s="38">
        <v>3828.4799999999814</v>
      </c>
      <c r="K15" s="38">
        <v>3828.4799999999814</v>
      </c>
      <c r="L15" s="38">
        <v>3828.4799999999814</v>
      </c>
    </row>
    <row r="16" spans="1:14" x14ac:dyDescent="0.25">
      <c r="B16" t="s">
        <v>13</v>
      </c>
      <c r="C16" s="35">
        <v>970.94640000000072</v>
      </c>
      <c r="D16" s="38">
        <v>970.94640000000072</v>
      </c>
      <c r="E16" s="38">
        <v>970.94640000000072</v>
      </c>
      <c r="F16" s="38">
        <v>970.94640000000072</v>
      </c>
      <c r="G16" s="38">
        <v>970.94640000000072</v>
      </c>
      <c r="H16" s="38">
        <v>970.94640000000072</v>
      </c>
      <c r="I16" s="38">
        <v>970.94640000000072</v>
      </c>
      <c r="J16" s="38">
        <v>970.94640000000072</v>
      </c>
      <c r="K16" s="38">
        <v>970.94640000000072</v>
      </c>
      <c r="L16" s="38">
        <v>970.94640000000072</v>
      </c>
    </row>
    <row r="17" spans="1:17" x14ac:dyDescent="0.25">
      <c r="B17" t="s">
        <v>14</v>
      </c>
      <c r="C17" s="37">
        <v>801.85599999999977</v>
      </c>
      <c r="D17" s="38">
        <v>801.85599999999977</v>
      </c>
      <c r="E17" s="38">
        <v>801.85599999999977</v>
      </c>
      <c r="F17" s="38">
        <v>801.85599999999977</v>
      </c>
      <c r="G17" s="38">
        <v>801.85599999999977</v>
      </c>
      <c r="H17" s="38">
        <v>801.85599999999977</v>
      </c>
      <c r="I17" s="38">
        <v>801.85599999999977</v>
      </c>
      <c r="J17" s="38">
        <v>801.85599999999977</v>
      </c>
      <c r="K17" s="38">
        <v>801.85599999999977</v>
      </c>
      <c r="L17" s="38">
        <v>801.85599999999977</v>
      </c>
    </row>
    <row r="18" spans="1:17" x14ac:dyDescent="0.25">
      <c r="P18" s="14"/>
      <c r="Q18" s="14"/>
    </row>
    <row r="19" spans="1:17" x14ac:dyDescent="0.25">
      <c r="A19" t="s">
        <v>45</v>
      </c>
      <c r="C19" s="20">
        <v>2025</v>
      </c>
      <c r="D19" s="20">
        <v>2030</v>
      </c>
      <c r="E19" s="20">
        <v>2035</v>
      </c>
      <c r="F19" s="20">
        <v>2040</v>
      </c>
      <c r="G19" s="20">
        <v>2045</v>
      </c>
      <c r="H19" s="20">
        <v>2050</v>
      </c>
      <c r="I19">
        <v>2021</v>
      </c>
      <c r="J19">
        <v>2022</v>
      </c>
      <c r="K19">
        <v>2023</v>
      </c>
      <c r="L19">
        <v>2024</v>
      </c>
      <c r="P19" s="14"/>
      <c r="Q19" s="14"/>
    </row>
    <row r="20" spans="1:17" x14ac:dyDescent="0.25">
      <c r="B20" t="s">
        <v>12</v>
      </c>
      <c r="C20" s="30">
        <v>126.41439999999966</v>
      </c>
      <c r="D20" s="30">
        <v>126.41439999999966</v>
      </c>
      <c r="E20" s="30">
        <v>126.41439999999966</v>
      </c>
      <c r="F20" s="30">
        <v>126.41439999999966</v>
      </c>
      <c r="G20" s="30">
        <v>126.41439999999966</v>
      </c>
      <c r="H20" s="30">
        <v>126.41439999999966</v>
      </c>
      <c r="I20" s="30">
        <v>126.41439999999966</v>
      </c>
      <c r="J20" s="30">
        <v>126.41439999999966</v>
      </c>
      <c r="K20" s="30">
        <v>126.41439999999966</v>
      </c>
      <c r="L20" s="30">
        <v>126.41439999999966</v>
      </c>
      <c r="P20" s="14"/>
      <c r="Q20" s="14"/>
    </row>
    <row r="21" spans="1:17" x14ac:dyDescent="0.25">
      <c r="B21" t="s">
        <v>2</v>
      </c>
      <c r="C21" s="32">
        <v>59.900000000000546</v>
      </c>
      <c r="D21" s="38">
        <v>59.900000000000546</v>
      </c>
      <c r="E21" s="38">
        <v>59.900000000000546</v>
      </c>
      <c r="F21" s="38">
        <v>59.900000000000546</v>
      </c>
      <c r="G21" s="38">
        <v>59.900000000000546</v>
      </c>
      <c r="H21" s="38">
        <v>59.900000000000546</v>
      </c>
      <c r="I21" s="38">
        <v>59.900000000000546</v>
      </c>
      <c r="J21" s="38">
        <v>59.900000000000546</v>
      </c>
      <c r="K21" s="38">
        <v>59.900000000000546</v>
      </c>
      <c r="L21" s="38">
        <v>59.900000000000546</v>
      </c>
      <c r="P21" s="14"/>
      <c r="Q21" s="14"/>
    </row>
    <row r="22" spans="1:17" x14ac:dyDescent="0.25">
      <c r="B22" t="s">
        <v>3</v>
      </c>
      <c r="C22" s="34">
        <v>58.740000000000236</v>
      </c>
      <c r="D22" s="38">
        <v>58.740000000000236</v>
      </c>
      <c r="E22" s="38">
        <v>58.740000000000236</v>
      </c>
      <c r="F22" s="38">
        <v>58.740000000000236</v>
      </c>
      <c r="G22" s="38">
        <v>58.740000000000236</v>
      </c>
      <c r="H22" s="38">
        <v>58.740000000000236</v>
      </c>
      <c r="I22" s="38">
        <v>58.740000000000236</v>
      </c>
      <c r="J22" s="38">
        <v>58.740000000000236</v>
      </c>
      <c r="K22" s="38">
        <v>58.740000000000236</v>
      </c>
      <c r="L22" s="38">
        <v>58.740000000000236</v>
      </c>
      <c r="P22" s="14"/>
      <c r="Q22" s="14"/>
    </row>
    <row r="23" spans="1:17" x14ac:dyDescent="0.25">
      <c r="B23" t="s">
        <v>13</v>
      </c>
      <c r="C23" s="36">
        <v>21.099199999999882</v>
      </c>
      <c r="D23" s="38">
        <v>21.099199999999882</v>
      </c>
      <c r="E23" s="38">
        <v>21.099199999999882</v>
      </c>
      <c r="F23" s="38">
        <v>21.099199999999882</v>
      </c>
      <c r="G23" s="38">
        <v>21.099199999999882</v>
      </c>
      <c r="H23" s="38">
        <v>21.099199999999882</v>
      </c>
      <c r="I23" s="38">
        <v>21.099199999999882</v>
      </c>
      <c r="J23" s="38">
        <v>21.099199999999882</v>
      </c>
      <c r="K23" s="38">
        <v>21.099199999999882</v>
      </c>
      <c r="L23" s="38">
        <v>21.099199999999882</v>
      </c>
      <c r="P23" s="14"/>
      <c r="Q23" s="14"/>
    </row>
    <row r="24" spans="1:17" x14ac:dyDescent="0.25">
      <c r="B24" t="s">
        <v>14</v>
      </c>
      <c r="C24" s="38">
        <v>12.23599999999999</v>
      </c>
      <c r="D24" s="38">
        <v>12.23599999999999</v>
      </c>
      <c r="E24" s="38">
        <v>12.23599999999999</v>
      </c>
      <c r="F24" s="38">
        <v>12.23599999999999</v>
      </c>
      <c r="G24" s="38">
        <v>12.23599999999999</v>
      </c>
      <c r="H24" s="38">
        <v>12.23599999999999</v>
      </c>
      <c r="I24" s="38">
        <v>12.23599999999999</v>
      </c>
      <c r="J24" s="38">
        <v>12.23599999999999</v>
      </c>
      <c r="K24" s="38">
        <v>12.23599999999999</v>
      </c>
      <c r="L24" s="38">
        <v>12.23599999999999</v>
      </c>
      <c r="P24" s="14"/>
      <c r="Q24" s="14"/>
    </row>
    <row r="25" spans="1:17" x14ac:dyDescent="0.25">
      <c r="P25" s="14"/>
      <c r="Q25" s="14"/>
    </row>
    <row r="26" spans="1:17" x14ac:dyDescent="0.25">
      <c r="P26" s="14"/>
      <c r="Q26" s="14"/>
    </row>
    <row r="27" spans="1:17" x14ac:dyDescent="0.25">
      <c r="P27" s="14"/>
      <c r="Q27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ED0B7-B92C-4306-AF7A-9D3ACEBB12F2}">
  <dimension ref="C5:E9"/>
  <sheetViews>
    <sheetView workbookViewId="0">
      <selection activeCell="E10" sqref="E10"/>
    </sheetView>
  </sheetViews>
  <sheetFormatPr baseColWidth="10" defaultColWidth="9.140625" defaultRowHeight="15" x14ac:dyDescent="0.25"/>
  <cols>
    <col min="3" max="3" width="16.42578125" bestFit="1" customWidth="1"/>
    <col min="4" max="4" width="8.5703125" bestFit="1" customWidth="1"/>
  </cols>
  <sheetData>
    <row r="5" spans="3:5" x14ac:dyDescent="0.25">
      <c r="C5" t="s">
        <v>37</v>
      </c>
      <c r="D5" t="s">
        <v>12</v>
      </c>
      <c r="E5" s="3">
        <v>0.85</v>
      </c>
    </row>
    <row r="6" spans="3:5" x14ac:dyDescent="0.25">
      <c r="C6" t="s">
        <v>37</v>
      </c>
      <c r="D6" t="s">
        <v>2</v>
      </c>
      <c r="E6" s="3">
        <v>0.85</v>
      </c>
    </row>
    <row r="7" spans="3:5" x14ac:dyDescent="0.25">
      <c r="C7" t="s">
        <v>37</v>
      </c>
      <c r="D7" t="s">
        <v>3</v>
      </c>
      <c r="E7" s="3">
        <v>0.85</v>
      </c>
    </row>
    <row r="8" spans="3:5" x14ac:dyDescent="0.25">
      <c r="C8" t="s">
        <v>37</v>
      </c>
      <c r="D8" t="s">
        <v>13</v>
      </c>
      <c r="E8" s="3">
        <v>0.85</v>
      </c>
    </row>
    <row r="9" spans="3:5" x14ac:dyDescent="0.25">
      <c r="C9" t="s">
        <v>37</v>
      </c>
      <c r="D9" t="s">
        <v>14</v>
      </c>
      <c r="E9" s="3">
        <v>0.85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76775-C2C6-4090-A4FF-E8AB4F9F35A2}">
  <dimension ref="A4:R57"/>
  <sheetViews>
    <sheetView topLeftCell="A19" workbookViewId="0">
      <selection activeCell="P38" sqref="P38"/>
    </sheetView>
  </sheetViews>
  <sheetFormatPr baseColWidth="10" defaultColWidth="9.140625" defaultRowHeight="15" x14ac:dyDescent="0.25"/>
  <cols>
    <col min="2" max="2" width="13.85546875" bestFit="1" customWidth="1"/>
    <col min="5" max="5" width="12.28515625" bestFit="1" customWidth="1"/>
    <col min="8" max="8" width="11.42578125" bestFit="1" customWidth="1"/>
    <col min="9" max="9" width="11.140625" bestFit="1" customWidth="1"/>
    <col min="13" max="13" width="13.85546875" bestFit="1" customWidth="1"/>
    <col min="14" max="14" width="10" bestFit="1" customWidth="1"/>
  </cols>
  <sheetData>
    <row r="4" spans="2:14" x14ac:dyDescent="0.25">
      <c r="C4" t="s">
        <v>31</v>
      </c>
      <c r="D4" t="s">
        <v>37</v>
      </c>
      <c r="E4" t="s">
        <v>33</v>
      </c>
      <c r="F4" t="s">
        <v>46</v>
      </c>
      <c r="G4" t="s">
        <v>39</v>
      </c>
      <c r="H4" t="s">
        <v>40</v>
      </c>
    </row>
    <row r="5" spans="2:14" x14ac:dyDescent="0.25">
      <c r="B5" t="s">
        <v>15</v>
      </c>
      <c r="C5" s="1">
        <v>1</v>
      </c>
      <c r="D5" s="1">
        <v>1</v>
      </c>
      <c r="E5">
        <v>25</v>
      </c>
      <c r="F5">
        <v>25</v>
      </c>
      <c r="G5">
        <v>0</v>
      </c>
      <c r="H5">
        <v>1</v>
      </c>
      <c r="M5" t="s">
        <v>15</v>
      </c>
      <c r="N5" t="s">
        <v>5</v>
      </c>
    </row>
    <row r="6" spans="2:14" x14ac:dyDescent="0.25">
      <c r="B6" t="s">
        <v>16</v>
      </c>
      <c r="C6" s="1">
        <v>1</v>
      </c>
      <c r="D6" s="1">
        <v>1</v>
      </c>
      <c r="E6">
        <v>25</v>
      </c>
      <c r="F6">
        <v>25</v>
      </c>
      <c r="G6">
        <v>0</v>
      </c>
      <c r="H6">
        <v>1</v>
      </c>
      <c r="M6" t="s">
        <v>16</v>
      </c>
      <c r="N6" t="s">
        <v>5</v>
      </c>
    </row>
    <row r="7" spans="2:14" x14ac:dyDescent="0.25">
      <c r="B7" t="s">
        <v>17</v>
      </c>
      <c r="C7" s="1">
        <v>1</v>
      </c>
      <c r="D7" s="1">
        <v>1</v>
      </c>
      <c r="E7">
        <v>25</v>
      </c>
      <c r="F7">
        <v>25</v>
      </c>
      <c r="G7">
        <v>0</v>
      </c>
      <c r="H7">
        <v>1</v>
      </c>
      <c r="M7" t="s">
        <v>17</v>
      </c>
      <c r="N7" t="s">
        <v>5</v>
      </c>
    </row>
    <row r="8" spans="2:14" x14ac:dyDescent="0.25">
      <c r="B8" t="s">
        <v>18</v>
      </c>
      <c r="C8" s="1">
        <v>1</v>
      </c>
      <c r="D8" s="1">
        <v>1</v>
      </c>
      <c r="E8">
        <v>25</v>
      </c>
      <c r="F8">
        <v>25</v>
      </c>
      <c r="G8">
        <v>0</v>
      </c>
      <c r="H8">
        <v>1</v>
      </c>
      <c r="M8" t="s">
        <v>18</v>
      </c>
      <c r="N8" t="s">
        <v>5</v>
      </c>
    </row>
    <row r="9" spans="2:14" x14ac:dyDescent="0.25">
      <c r="B9" t="s">
        <v>19</v>
      </c>
      <c r="C9" s="1">
        <v>1</v>
      </c>
      <c r="D9" s="1">
        <v>1</v>
      </c>
      <c r="E9">
        <v>25</v>
      </c>
      <c r="F9">
        <v>35</v>
      </c>
      <c r="G9">
        <v>0</v>
      </c>
      <c r="H9">
        <v>1</v>
      </c>
      <c r="M9" t="s">
        <v>19</v>
      </c>
      <c r="N9" t="s">
        <v>6</v>
      </c>
    </row>
    <row r="10" spans="2:14" x14ac:dyDescent="0.25">
      <c r="B10" t="s">
        <v>20</v>
      </c>
      <c r="C10" s="1">
        <v>1</v>
      </c>
      <c r="D10" s="1">
        <v>1</v>
      </c>
      <c r="E10">
        <v>25</v>
      </c>
      <c r="F10">
        <v>35</v>
      </c>
      <c r="G10">
        <v>0</v>
      </c>
      <c r="H10">
        <v>1</v>
      </c>
      <c r="M10" t="s">
        <v>20</v>
      </c>
      <c r="N10" t="s">
        <v>6</v>
      </c>
    </row>
    <row r="11" spans="2:14" x14ac:dyDescent="0.25">
      <c r="B11" t="s">
        <v>21</v>
      </c>
      <c r="C11" s="1">
        <v>1</v>
      </c>
      <c r="D11" s="1">
        <v>1</v>
      </c>
      <c r="E11">
        <v>25</v>
      </c>
      <c r="F11">
        <v>35</v>
      </c>
      <c r="G11">
        <v>0</v>
      </c>
      <c r="H11">
        <v>1</v>
      </c>
      <c r="M11" t="s">
        <v>21</v>
      </c>
      <c r="N11" t="s">
        <v>6</v>
      </c>
    </row>
    <row r="12" spans="2:14" x14ac:dyDescent="0.25">
      <c r="B12" t="s">
        <v>22</v>
      </c>
      <c r="C12" s="1">
        <v>1</v>
      </c>
      <c r="D12" s="1">
        <v>1</v>
      </c>
      <c r="E12">
        <v>25</v>
      </c>
      <c r="F12">
        <v>35</v>
      </c>
      <c r="G12">
        <v>0</v>
      </c>
      <c r="H12">
        <v>1</v>
      </c>
      <c r="M12" t="s">
        <v>22</v>
      </c>
      <c r="N12" t="s">
        <v>6</v>
      </c>
    </row>
    <row r="13" spans="2:14" x14ac:dyDescent="0.25">
      <c r="B13" t="s">
        <v>23</v>
      </c>
      <c r="C13" s="1">
        <v>1</v>
      </c>
      <c r="D13" s="1">
        <v>1</v>
      </c>
      <c r="E13">
        <v>25</v>
      </c>
      <c r="F13">
        <v>35</v>
      </c>
      <c r="G13">
        <v>0</v>
      </c>
      <c r="H13">
        <v>1</v>
      </c>
      <c r="M13" t="s">
        <v>23</v>
      </c>
      <c r="N13" t="s">
        <v>6</v>
      </c>
    </row>
    <row r="14" spans="2:14" x14ac:dyDescent="0.25">
      <c r="B14" t="s">
        <v>24</v>
      </c>
      <c r="C14" s="1">
        <v>1</v>
      </c>
      <c r="D14" s="1">
        <v>1</v>
      </c>
      <c r="E14">
        <v>80</v>
      </c>
      <c r="F14">
        <v>60</v>
      </c>
      <c r="G14">
        <v>0</v>
      </c>
      <c r="H14">
        <v>0</v>
      </c>
      <c r="M14" t="s">
        <v>24</v>
      </c>
      <c r="N14" t="s">
        <v>7</v>
      </c>
    </row>
    <row r="15" spans="2:14" x14ac:dyDescent="0.25">
      <c r="B15" t="s">
        <v>25</v>
      </c>
      <c r="C15" s="1">
        <v>1</v>
      </c>
      <c r="D15" s="1">
        <v>1</v>
      </c>
      <c r="E15">
        <v>80</v>
      </c>
      <c r="F15">
        <v>20</v>
      </c>
      <c r="G15">
        <v>1</v>
      </c>
      <c r="H15">
        <v>0</v>
      </c>
      <c r="M15" t="s">
        <v>25</v>
      </c>
      <c r="N15" t="s">
        <v>7</v>
      </c>
    </row>
    <row r="16" spans="2:14" x14ac:dyDescent="0.25">
      <c r="B16" t="s">
        <v>8</v>
      </c>
      <c r="C16" s="1">
        <v>0.45900000000000002</v>
      </c>
      <c r="D16" s="1">
        <v>0.8</v>
      </c>
      <c r="E16">
        <v>30</v>
      </c>
      <c r="F16">
        <v>100</v>
      </c>
      <c r="G16">
        <v>1</v>
      </c>
      <c r="H16">
        <v>0</v>
      </c>
      <c r="M16" t="s">
        <v>8</v>
      </c>
      <c r="N16" t="s">
        <v>8</v>
      </c>
    </row>
    <row r="17" spans="1:18" x14ac:dyDescent="0.25">
      <c r="B17" t="s">
        <v>9</v>
      </c>
      <c r="C17" s="1">
        <v>0.38</v>
      </c>
      <c r="D17" s="1">
        <v>0.8</v>
      </c>
      <c r="E17">
        <v>30</v>
      </c>
      <c r="F17">
        <v>100</v>
      </c>
      <c r="G17">
        <v>1</v>
      </c>
      <c r="H17">
        <v>0</v>
      </c>
      <c r="M17" t="s">
        <v>9</v>
      </c>
      <c r="N17" t="s">
        <v>9</v>
      </c>
    </row>
    <row r="18" spans="1:18" x14ac:dyDescent="0.25">
      <c r="B18" t="s">
        <v>26</v>
      </c>
      <c r="C18" s="1">
        <v>1</v>
      </c>
      <c r="D18" s="1">
        <v>1</v>
      </c>
      <c r="E18">
        <v>40</v>
      </c>
      <c r="F18">
        <v>80</v>
      </c>
      <c r="G18">
        <v>0</v>
      </c>
      <c r="H18">
        <v>0</v>
      </c>
      <c r="M18" t="s">
        <v>26</v>
      </c>
      <c r="N18" t="s">
        <v>10</v>
      </c>
    </row>
    <row r="19" spans="1:18" x14ac:dyDescent="0.25">
      <c r="B19" t="s">
        <v>27</v>
      </c>
      <c r="C19" s="1">
        <v>1</v>
      </c>
      <c r="D19" s="1">
        <v>1</v>
      </c>
      <c r="E19">
        <v>30</v>
      </c>
      <c r="F19">
        <v>150</v>
      </c>
      <c r="G19">
        <v>0</v>
      </c>
      <c r="H19">
        <v>0</v>
      </c>
      <c r="M19" t="s">
        <v>27</v>
      </c>
      <c r="N19" t="s">
        <v>10</v>
      </c>
    </row>
    <row r="20" spans="1:18" x14ac:dyDescent="0.25">
      <c r="B20" t="s">
        <v>11</v>
      </c>
      <c r="C20" s="1">
        <f>C17</f>
        <v>0.38</v>
      </c>
      <c r="D20" s="1">
        <v>1</v>
      </c>
      <c r="E20">
        <f t="shared" ref="E20:F20" si="0">E17</f>
        <v>30</v>
      </c>
      <c r="F20">
        <f t="shared" si="0"/>
        <v>100</v>
      </c>
      <c r="G20">
        <v>0</v>
      </c>
      <c r="H20">
        <v>0</v>
      </c>
      <c r="M20" t="s">
        <v>11</v>
      </c>
      <c r="N20" t="s">
        <v>11</v>
      </c>
    </row>
    <row r="23" spans="1:18" x14ac:dyDescent="0.25">
      <c r="A23" t="s">
        <v>34</v>
      </c>
      <c r="C23">
        <v>2025</v>
      </c>
      <c r="D23">
        <v>2030</v>
      </c>
      <c r="E23" s="20">
        <v>2035</v>
      </c>
      <c r="F23" s="20">
        <v>2040</v>
      </c>
      <c r="G23" s="20">
        <v>2045</v>
      </c>
      <c r="H23" s="20">
        <v>2050</v>
      </c>
      <c r="I23">
        <v>2021</v>
      </c>
      <c r="J23">
        <v>2022</v>
      </c>
      <c r="K23">
        <v>2023</v>
      </c>
      <c r="L23">
        <v>2024</v>
      </c>
    </row>
    <row r="24" spans="1:18" x14ac:dyDescent="0.25">
      <c r="B24" t="s">
        <v>15</v>
      </c>
      <c r="C24" s="28">
        <v>722.66599599999995</v>
      </c>
      <c r="D24" s="28">
        <v>530.30226000000005</v>
      </c>
      <c r="E24" s="28">
        <v>389.143101</v>
      </c>
      <c r="F24" s="28">
        <v>285.55856699999998</v>
      </c>
      <c r="G24" s="28">
        <v>209.546809</v>
      </c>
      <c r="H24" s="28">
        <v>153.76833400000001</v>
      </c>
      <c r="I24" s="15">
        <v>1054.1410000000033</v>
      </c>
      <c r="J24" s="15">
        <v>972.86199999999371</v>
      </c>
      <c r="K24" s="15">
        <v>891.58300000001327</v>
      </c>
      <c r="L24" s="15">
        <v>810.30400000000373</v>
      </c>
    </row>
    <row r="25" spans="1:18" x14ac:dyDescent="0.25">
      <c r="B25" t="s">
        <v>16</v>
      </c>
      <c r="C25" s="28">
        <v>722.66599599999995</v>
      </c>
      <c r="D25" s="28">
        <v>530.30226000000005</v>
      </c>
      <c r="E25" s="28">
        <v>389.143101</v>
      </c>
      <c r="F25" s="28">
        <v>285.55856699999998</v>
      </c>
      <c r="G25" s="28">
        <v>209.546809</v>
      </c>
      <c r="H25" s="28">
        <v>153.76833400000001</v>
      </c>
      <c r="I25" s="15">
        <v>1054.1410000000033</v>
      </c>
      <c r="J25" s="15">
        <v>972.86199999999371</v>
      </c>
      <c r="K25" s="15">
        <v>891.58300000001327</v>
      </c>
      <c r="L25" s="15">
        <v>810.30400000000373</v>
      </c>
      <c r="P25" s="21"/>
      <c r="Q25" s="23"/>
      <c r="R25" s="25"/>
    </row>
    <row r="26" spans="1:18" x14ac:dyDescent="0.25">
      <c r="B26" t="s">
        <v>17</v>
      </c>
      <c r="C26" s="28">
        <v>722.66599599999995</v>
      </c>
      <c r="D26" s="28">
        <v>530.30226000000005</v>
      </c>
      <c r="E26" s="28">
        <v>389.143101</v>
      </c>
      <c r="F26" s="28">
        <v>285.55856699999998</v>
      </c>
      <c r="G26" s="28">
        <v>209.546809</v>
      </c>
      <c r="H26" s="28">
        <v>153.76833400000001</v>
      </c>
      <c r="I26" s="15">
        <v>1054.1410000000033</v>
      </c>
      <c r="J26" s="15">
        <v>972.86199999999371</v>
      </c>
      <c r="K26" s="15">
        <v>891.58300000001327</v>
      </c>
      <c r="L26" s="15">
        <v>810.30400000000373</v>
      </c>
      <c r="P26" s="21"/>
      <c r="Q26" s="23"/>
      <c r="R26" s="25"/>
    </row>
    <row r="27" spans="1:18" x14ac:dyDescent="0.25">
      <c r="B27" t="s">
        <v>18</v>
      </c>
      <c r="C27" s="28">
        <v>722.66599599999995</v>
      </c>
      <c r="D27" s="28">
        <v>530.30226000000005</v>
      </c>
      <c r="E27" s="28">
        <v>389.143101</v>
      </c>
      <c r="F27" s="28">
        <v>285.55856699999998</v>
      </c>
      <c r="G27" s="28">
        <v>209.546809</v>
      </c>
      <c r="H27" s="28">
        <v>153.76833400000001</v>
      </c>
      <c r="I27" s="15">
        <v>1054.1410000000033</v>
      </c>
      <c r="J27" s="15">
        <v>972.86199999999371</v>
      </c>
      <c r="K27" s="15">
        <v>891.58300000001327</v>
      </c>
      <c r="L27" s="15">
        <v>810.30400000000373</v>
      </c>
      <c r="P27" s="21"/>
      <c r="Q27" s="23"/>
      <c r="R27" s="25"/>
    </row>
    <row r="28" spans="1:18" x14ac:dyDescent="0.25">
      <c r="B28" t="s">
        <v>19</v>
      </c>
      <c r="C28" s="23">
        <v>1341.2198155373269</v>
      </c>
      <c r="D28" s="23">
        <v>1277.7867886362787</v>
      </c>
      <c r="E28" s="23">
        <v>1217.3538284321405</v>
      </c>
      <c r="F28" s="23">
        <v>1159.7790466905708</v>
      </c>
      <c r="G28" s="23">
        <v>1104.9272657850472</v>
      </c>
      <c r="H28" s="23">
        <v>1052.669701318506</v>
      </c>
      <c r="I28" s="16">
        <v>1432.8010000000031</v>
      </c>
      <c r="J28" s="16">
        <v>1448.9820000000036</v>
      </c>
      <c r="K28" s="16">
        <v>1465.1630000000005</v>
      </c>
      <c r="L28" s="16">
        <v>1481.344000000001</v>
      </c>
      <c r="P28" s="21"/>
      <c r="Q28" s="23"/>
      <c r="R28" s="25"/>
    </row>
    <row r="29" spans="1:18" x14ac:dyDescent="0.25">
      <c r="B29" t="s">
        <v>20</v>
      </c>
      <c r="C29" s="23">
        <v>1341.2198155373269</v>
      </c>
      <c r="D29" s="23">
        <v>1277.7867886362787</v>
      </c>
      <c r="E29" s="23">
        <v>1217.3538284321405</v>
      </c>
      <c r="F29" s="23">
        <v>1159.7790466905708</v>
      </c>
      <c r="G29" s="23">
        <v>1104.9272657850472</v>
      </c>
      <c r="H29" s="23">
        <v>1052.669701318506</v>
      </c>
      <c r="I29" s="16">
        <v>1432.8010000000031</v>
      </c>
      <c r="J29" s="16">
        <v>1448.9820000000036</v>
      </c>
      <c r="K29" s="16">
        <v>1465.1630000000005</v>
      </c>
      <c r="L29" s="16">
        <v>1481.344000000001</v>
      </c>
      <c r="P29" s="21"/>
      <c r="Q29" s="23"/>
      <c r="R29" s="25"/>
    </row>
    <row r="30" spans="1:18" x14ac:dyDescent="0.25">
      <c r="B30" t="s">
        <v>21</v>
      </c>
      <c r="C30" s="23">
        <v>1341.2198155373269</v>
      </c>
      <c r="D30" s="23">
        <v>1277.7867886362787</v>
      </c>
      <c r="E30" s="23">
        <v>1217.3538284321405</v>
      </c>
      <c r="F30" s="23">
        <v>1159.7790466905708</v>
      </c>
      <c r="G30" s="23">
        <v>1104.9272657850472</v>
      </c>
      <c r="H30" s="23">
        <v>1052.669701318506</v>
      </c>
      <c r="I30" s="16">
        <v>1432.8010000000031</v>
      </c>
      <c r="J30" s="16">
        <v>1448.9820000000036</v>
      </c>
      <c r="K30" s="16">
        <v>1465.1630000000005</v>
      </c>
      <c r="L30" s="16">
        <v>1481.344000000001</v>
      </c>
      <c r="P30" s="21"/>
      <c r="Q30" s="23"/>
      <c r="R30" s="25"/>
    </row>
    <row r="31" spans="1:18" x14ac:dyDescent="0.25">
      <c r="B31" t="s">
        <v>22</v>
      </c>
      <c r="C31" s="23">
        <v>1341.2198155373269</v>
      </c>
      <c r="D31" s="23">
        <v>1277.7867886362787</v>
      </c>
      <c r="E31" s="23">
        <v>1217.3538284321405</v>
      </c>
      <c r="F31" s="23">
        <v>1159.7790466905708</v>
      </c>
      <c r="G31" s="23">
        <v>1104.9272657850472</v>
      </c>
      <c r="H31" s="23">
        <v>1052.669701318506</v>
      </c>
      <c r="I31" s="16">
        <v>1432.8010000000031</v>
      </c>
      <c r="J31" s="16">
        <v>1448.9820000000036</v>
      </c>
      <c r="K31" s="16">
        <v>1465.1630000000005</v>
      </c>
      <c r="L31" s="16">
        <v>1481.344000000001</v>
      </c>
    </row>
    <row r="32" spans="1:18" x14ac:dyDescent="0.25">
      <c r="B32" t="s">
        <v>23</v>
      </c>
      <c r="C32" s="48">
        <v>2957.3557099999998</v>
      </c>
      <c r="D32" s="48">
        <v>2754.6641500000001</v>
      </c>
      <c r="E32" s="48">
        <v>2565.8646800000001</v>
      </c>
      <c r="F32" s="48">
        <v>2390.0051699999999</v>
      </c>
      <c r="G32" s="48">
        <v>2226.1987399999998</v>
      </c>
      <c r="H32" s="48">
        <v>2073.6192900000001</v>
      </c>
      <c r="I32" s="16">
        <v>3184.3679999999999</v>
      </c>
      <c r="J32" s="16">
        <v>3105.576</v>
      </c>
      <c r="K32" s="16">
        <v>3026.7840000000001</v>
      </c>
      <c r="L32" s="16">
        <v>2947.9920000000002</v>
      </c>
    </row>
    <row r="33" spans="1:18" x14ac:dyDescent="0.25">
      <c r="B33" t="s">
        <v>24</v>
      </c>
      <c r="C33" s="39">
        <v>9313.0100000000093</v>
      </c>
      <c r="D33" s="40">
        <v>9313.0100000000093</v>
      </c>
      <c r="E33" s="40">
        <v>9313.0100000000093</v>
      </c>
      <c r="F33" s="40">
        <v>9313.0100000000093</v>
      </c>
      <c r="G33" s="40">
        <v>9313.0100000000093</v>
      </c>
      <c r="H33" s="40">
        <v>9313.0100000000093</v>
      </c>
      <c r="I33" s="40">
        <v>9313.0100000000093</v>
      </c>
      <c r="J33" s="40">
        <v>9313.0100000000093</v>
      </c>
      <c r="K33" s="40">
        <v>9313.0100000000093</v>
      </c>
      <c r="L33" s="40">
        <v>9313.0100000000093</v>
      </c>
      <c r="P33" s="17"/>
      <c r="Q33" s="17"/>
    </row>
    <row r="34" spans="1:18" x14ac:dyDescent="0.25">
      <c r="B34" t="s">
        <v>25</v>
      </c>
      <c r="C34" s="43">
        <v>6646.1199999999953</v>
      </c>
      <c r="D34" s="43">
        <v>6646.1199999999953</v>
      </c>
      <c r="E34" s="43">
        <v>6646.1199999999953</v>
      </c>
      <c r="F34" s="43">
        <v>6646.1199999999953</v>
      </c>
      <c r="G34" s="43">
        <v>6646.1199999999953</v>
      </c>
      <c r="H34" s="43">
        <v>6646.1199999999953</v>
      </c>
      <c r="I34" s="43">
        <v>6646.1199999999953</v>
      </c>
      <c r="J34" s="43">
        <v>6646.1199999999953</v>
      </c>
      <c r="K34" s="43">
        <v>6646.1199999999953</v>
      </c>
      <c r="L34" s="43">
        <v>6646.1199999999953</v>
      </c>
      <c r="P34" s="17"/>
      <c r="Q34" s="17"/>
    </row>
    <row r="35" spans="1:18" x14ac:dyDescent="0.25">
      <c r="B35" t="s">
        <v>8</v>
      </c>
      <c r="C35" s="41">
        <v>4604.7200000000303</v>
      </c>
      <c r="D35" s="41">
        <v>4604.7200000000303</v>
      </c>
      <c r="E35" s="41">
        <v>4604.7200000000303</v>
      </c>
      <c r="F35" s="41">
        <v>4604.7200000000303</v>
      </c>
      <c r="G35" s="41">
        <v>4604.7200000000303</v>
      </c>
      <c r="H35" s="41">
        <v>4604.7200000000303</v>
      </c>
      <c r="I35" s="41">
        <v>4604.7200000000303</v>
      </c>
      <c r="J35" s="41">
        <v>4604.7200000000303</v>
      </c>
      <c r="K35" s="41">
        <v>4604.7200000000303</v>
      </c>
      <c r="L35" s="41">
        <v>4604.7200000000303</v>
      </c>
      <c r="P35" s="17"/>
      <c r="Q35" s="17"/>
    </row>
    <row r="36" spans="1:18" x14ac:dyDescent="0.25">
      <c r="B36" t="s">
        <v>9</v>
      </c>
      <c r="C36" s="9">
        <v>8530.7137000000002</v>
      </c>
      <c r="D36" s="9">
        <v>8693.5460999999996</v>
      </c>
      <c r="E36" s="9">
        <v>8415.2163</v>
      </c>
      <c r="F36" s="9">
        <v>8077.2443999999996</v>
      </c>
      <c r="G36" s="9">
        <v>8391.5488000000005</v>
      </c>
      <c r="H36" s="9">
        <v>7973.1073999999999</v>
      </c>
      <c r="I36" s="9">
        <v>8094.2849999999999</v>
      </c>
      <c r="J36" s="9">
        <v>9329.7285000000011</v>
      </c>
      <c r="K36" s="9">
        <v>8534.5005000000001</v>
      </c>
      <c r="P36" s="17"/>
      <c r="Q36" s="17"/>
    </row>
    <row r="37" spans="1:18" x14ac:dyDescent="0.25">
      <c r="B37" t="s">
        <v>26</v>
      </c>
      <c r="C37" s="45">
        <v>9924.0799999999581</v>
      </c>
      <c r="D37" s="45">
        <v>9924.0799999999581</v>
      </c>
      <c r="E37" s="45">
        <v>9924.0799999999581</v>
      </c>
      <c r="F37" s="45">
        <v>9924.0799999999581</v>
      </c>
      <c r="G37" s="45">
        <v>9924.0799999999581</v>
      </c>
      <c r="H37" s="45">
        <v>9924.0799999999581</v>
      </c>
      <c r="I37" s="45">
        <v>9924.0799999999581</v>
      </c>
      <c r="J37" s="45">
        <v>9924.0799999999581</v>
      </c>
      <c r="K37" s="45">
        <v>9924.0799999999581</v>
      </c>
      <c r="L37" s="45">
        <v>9924.0799999999581</v>
      </c>
      <c r="P37" s="17"/>
      <c r="Q37" s="17"/>
    </row>
    <row r="38" spans="1:18" x14ac:dyDescent="0.25">
      <c r="B38" t="s">
        <v>27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P38" s="17"/>
      <c r="Q38" s="17"/>
    </row>
    <row r="39" spans="1:18" x14ac:dyDescent="0.25">
      <c r="B39" t="s">
        <v>11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P39" s="17"/>
      <c r="Q39" s="17"/>
    </row>
    <row r="40" spans="1:18" x14ac:dyDescent="0.25">
      <c r="K40" s="6"/>
      <c r="P40" s="18"/>
      <c r="Q40" s="18"/>
    </row>
    <row r="41" spans="1:18" x14ac:dyDescent="0.25">
      <c r="A41" t="s">
        <v>45</v>
      </c>
      <c r="C41" s="20">
        <v>2025</v>
      </c>
      <c r="D41" s="20">
        <v>2030</v>
      </c>
      <c r="E41" s="20">
        <v>2035</v>
      </c>
      <c r="F41" s="20">
        <v>2040</v>
      </c>
      <c r="G41" s="20">
        <v>2045</v>
      </c>
      <c r="H41" s="20">
        <v>2050</v>
      </c>
      <c r="I41">
        <v>2021</v>
      </c>
      <c r="J41">
        <v>2022</v>
      </c>
      <c r="K41" s="6">
        <v>2023</v>
      </c>
      <c r="L41">
        <v>2024</v>
      </c>
      <c r="P41" s="18"/>
      <c r="Q41" s="18"/>
    </row>
    <row r="42" spans="1:18" x14ac:dyDescent="0.25">
      <c r="B42" t="s">
        <v>15</v>
      </c>
      <c r="C42" s="28">
        <v>11.2371377</v>
      </c>
      <c r="D42" s="28">
        <v>9.3532526300000001</v>
      </c>
      <c r="E42" s="28">
        <v>7.7851973699999997</v>
      </c>
      <c r="F42" s="28">
        <v>6.4800236299999998</v>
      </c>
      <c r="G42" s="28">
        <v>5.3936598299999998</v>
      </c>
      <c r="H42" s="28">
        <v>4.4894228700000003</v>
      </c>
      <c r="I42" s="15">
        <v>15.600199999999859</v>
      </c>
      <c r="J42" s="15">
        <v>14.576399999999921</v>
      </c>
      <c r="K42" s="15">
        <v>13.552599999999529</v>
      </c>
      <c r="L42" s="15">
        <v>12.528799999999592</v>
      </c>
      <c r="P42" s="22"/>
      <c r="Q42" s="24"/>
      <c r="R42" s="26"/>
    </row>
    <row r="43" spans="1:18" x14ac:dyDescent="0.25">
      <c r="B43" t="s">
        <v>16</v>
      </c>
      <c r="C43" s="28">
        <v>11.2371377</v>
      </c>
      <c r="D43" s="28">
        <v>9.3532526300000001</v>
      </c>
      <c r="E43" s="28">
        <v>7.7851973699999997</v>
      </c>
      <c r="F43" s="28">
        <v>6.4800236299999998</v>
      </c>
      <c r="G43" s="28">
        <v>5.3936598299999998</v>
      </c>
      <c r="H43" s="28">
        <v>4.4894228700000003</v>
      </c>
      <c r="I43" s="15">
        <v>15.600199999999859</v>
      </c>
      <c r="J43" s="15">
        <v>14.576399999999921</v>
      </c>
      <c r="K43" s="15">
        <v>13.552599999999529</v>
      </c>
      <c r="L43" s="15">
        <v>12.528799999999592</v>
      </c>
      <c r="P43" s="22"/>
      <c r="Q43" s="24"/>
      <c r="R43" s="26"/>
    </row>
    <row r="44" spans="1:18" x14ac:dyDescent="0.25">
      <c r="B44" t="s">
        <v>17</v>
      </c>
      <c r="C44" s="28">
        <v>11.2371377</v>
      </c>
      <c r="D44" s="28">
        <v>9.3532526300000001</v>
      </c>
      <c r="E44" s="28">
        <v>7.7851973699999997</v>
      </c>
      <c r="F44" s="28">
        <v>6.4800236299999998</v>
      </c>
      <c r="G44" s="28">
        <v>5.3936598299999998</v>
      </c>
      <c r="H44" s="28">
        <v>4.4894228700000003</v>
      </c>
      <c r="I44" s="15">
        <v>15.600199999999859</v>
      </c>
      <c r="J44" s="15">
        <v>14.576399999999921</v>
      </c>
      <c r="K44" s="15">
        <v>13.552599999999529</v>
      </c>
      <c r="L44" s="15">
        <v>12.528799999999592</v>
      </c>
      <c r="P44" s="22"/>
      <c r="Q44" s="24"/>
      <c r="R44" s="26"/>
    </row>
    <row r="45" spans="1:18" x14ac:dyDescent="0.25">
      <c r="B45" t="s">
        <v>18</v>
      </c>
      <c r="C45" s="28">
        <v>11.2371377</v>
      </c>
      <c r="D45" s="28">
        <v>9.3532526300000001</v>
      </c>
      <c r="E45" s="28">
        <v>7.7851973699999997</v>
      </c>
      <c r="F45" s="28">
        <v>6.4800236299999998</v>
      </c>
      <c r="G45" s="28">
        <v>5.3936598299999998</v>
      </c>
      <c r="H45" s="28">
        <v>4.4894228700000003</v>
      </c>
      <c r="I45" s="15">
        <v>15.600199999999859</v>
      </c>
      <c r="J45" s="15">
        <v>14.576399999999921</v>
      </c>
      <c r="K45" s="15">
        <v>13.552599999999529</v>
      </c>
      <c r="L45" s="15">
        <v>12.528799999999592</v>
      </c>
      <c r="P45" s="22"/>
      <c r="Q45" s="24"/>
      <c r="R45" s="26"/>
    </row>
    <row r="46" spans="1:18" x14ac:dyDescent="0.25">
      <c r="B46" t="s">
        <v>19</v>
      </c>
      <c r="C46" s="24">
        <v>25.504788778402649</v>
      </c>
      <c r="D46" s="24">
        <v>20.376173035507122</v>
      </c>
      <c r="E46" s="24">
        <v>16.278842031599705</v>
      </c>
      <c r="F46" s="24">
        <v>13.005420469682326</v>
      </c>
      <c r="G46" s="24">
        <v>10.39023299476116</v>
      </c>
      <c r="H46" s="24">
        <v>8.3009189850562368</v>
      </c>
      <c r="I46" s="16">
        <v>30.063100000000304</v>
      </c>
      <c r="J46" s="16">
        <v>28.204200000000128</v>
      </c>
      <c r="K46" s="16">
        <v>26.345299999999952</v>
      </c>
      <c r="L46" s="16">
        <v>24.486400000000231</v>
      </c>
      <c r="P46" s="22"/>
      <c r="Q46" s="24"/>
      <c r="R46" s="26"/>
    </row>
    <row r="47" spans="1:18" x14ac:dyDescent="0.25">
      <c r="B47" t="s">
        <v>20</v>
      </c>
      <c r="C47" s="24">
        <v>25.504788778402649</v>
      </c>
      <c r="D47" s="24">
        <v>20.376173035507122</v>
      </c>
      <c r="E47" s="24">
        <v>16.278842031599705</v>
      </c>
      <c r="F47" s="24">
        <v>13.005420469682326</v>
      </c>
      <c r="G47" s="24">
        <v>10.39023299476116</v>
      </c>
      <c r="H47" s="24">
        <v>8.3009189850562368</v>
      </c>
      <c r="I47" s="16">
        <v>30.063100000000304</v>
      </c>
      <c r="J47" s="16">
        <v>28.204200000000128</v>
      </c>
      <c r="K47" s="16">
        <v>26.345299999999952</v>
      </c>
      <c r="L47" s="16">
        <v>24.486400000000231</v>
      </c>
      <c r="P47" s="22"/>
      <c r="Q47" s="24"/>
      <c r="R47" s="26"/>
    </row>
    <row r="48" spans="1:18" x14ac:dyDescent="0.25">
      <c r="B48" t="s">
        <v>21</v>
      </c>
      <c r="C48" s="24">
        <v>25.504788778402649</v>
      </c>
      <c r="D48" s="24">
        <v>20.376173035507122</v>
      </c>
      <c r="E48" s="24">
        <v>16.278842031599705</v>
      </c>
      <c r="F48" s="24">
        <v>13.005420469682326</v>
      </c>
      <c r="G48" s="24">
        <v>10.39023299476116</v>
      </c>
      <c r="H48" s="24">
        <v>8.3009189850562368</v>
      </c>
      <c r="I48" s="16">
        <v>30.063100000000304</v>
      </c>
      <c r="J48" s="16">
        <v>28.204200000000128</v>
      </c>
      <c r="K48" s="16">
        <v>26.345299999999952</v>
      </c>
      <c r="L48" s="16">
        <v>24.486400000000231</v>
      </c>
      <c r="P48" s="18"/>
      <c r="Q48" s="18"/>
    </row>
    <row r="49" spans="2:17" x14ac:dyDescent="0.25">
      <c r="B49" t="s">
        <v>22</v>
      </c>
      <c r="C49" s="24">
        <v>25.504788778402649</v>
      </c>
      <c r="D49" s="24">
        <v>20.376173035507122</v>
      </c>
      <c r="E49" s="24">
        <v>16.278842031599705</v>
      </c>
      <c r="F49" s="24">
        <v>13.005420469682326</v>
      </c>
      <c r="G49" s="24">
        <v>10.39023299476116</v>
      </c>
      <c r="H49" s="24">
        <v>8.3009189850562368</v>
      </c>
      <c r="I49" s="16">
        <v>30.063100000000304</v>
      </c>
      <c r="J49" s="16">
        <v>28.204200000000128</v>
      </c>
      <c r="K49" s="16">
        <v>26.345299999999952</v>
      </c>
      <c r="L49" s="16">
        <v>24.486400000000231</v>
      </c>
      <c r="P49" s="18"/>
      <c r="Q49" s="18"/>
    </row>
    <row r="50" spans="2:17" x14ac:dyDescent="0.25">
      <c r="B50" t="s">
        <v>23</v>
      </c>
      <c r="C50" s="48">
        <v>70.975072100000006</v>
      </c>
      <c r="D50" s="48">
        <v>58.138536199999997</v>
      </c>
      <c r="E50" s="48">
        <v>47.623613400000004</v>
      </c>
      <c r="F50" s="48">
        <v>39.010417199999999</v>
      </c>
      <c r="G50" s="48">
        <v>31.9550017</v>
      </c>
      <c r="H50" s="48">
        <v>26.175627200000001</v>
      </c>
      <c r="I50" s="16">
        <v>84.143699999999995</v>
      </c>
      <c r="J50" s="16">
        <v>81.093400000000003</v>
      </c>
      <c r="K50" s="16">
        <v>78.043099999999995</v>
      </c>
      <c r="L50" s="16">
        <v>74.992800000000003</v>
      </c>
    </row>
    <row r="51" spans="2:17" x14ac:dyDescent="0.25">
      <c r="B51" t="s">
        <v>24</v>
      </c>
      <c r="C51" s="40">
        <v>90.752799999999297</v>
      </c>
      <c r="D51" s="40">
        <v>90.752799999999297</v>
      </c>
      <c r="E51" s="40">
        <v>90.752799999999297</v>
      </c>
      <c r="F51" s="40">
        <v>90.752799999999297</v>
      </c>
      <c r="G51" s="40">
        <v>90.752799999999297</v>
      </c>
      <c r="H51" s="40">
        <v>90.752799999999297</v>
      </c>
      <c r="I51" s="40">
        <v>90.752799999999297</v>
      </c>
      <c r="J51" s="40">
        <v>90.752799999999297</v>
      </c>
      <c r="K51" s="40">
        <v>90.752799999999297</v>
      </c>
      <c r="L51" s="40">
        <v>90.752799999999297</v>
      </c>
    </row>
    <row r="52" spans="2:17" x14ac:dyDescent="0.25">
      <c r="B52" t="s">
        <v>25</v>
      </c>
      <c r="C52" s="44">
        <v>72.083200000000033</v>
      </c>
      <c r="D52" s="44">
        <v>72.083200000000033</v>
      </c>
      <c r="E52" s="44">
        <v>72.083200000000033</v>
      </c>
      <c r="F52" s="44">
        <v>72.083200000000033</v>
      </c>
      <c r="G52" s="44">
        <v>72.083200000000033</v>
      </c>
      <c r="H52" s="44">
        <v>72.083200000000033</v>
      </c>
      <c r="I52" s="44">
        <v>72.083200000000033</v>
      </c>
      <c r="J52" s="44">
        <v>72.083200000000033</v>
      </c>
      <c r="K52" s="44">
        <v>72.083200000000033</v>
      </c>
      <c r="L52" s="44">
        <v>72.083200000000033</v>
      </c>
    </row>
    <row r="53" spans="2:17" x14ac:dyDescent="0.25">
      <c r="B53" t="s">
        <v>8</v>
      </c>
      <c r="C53" s="42">
        <v>136.29280000000108</v>
      </c>
      <c r="D53" s="42">
        <v>136.29280000000108</v>
      </c>
      <c r="E53" s="42">
        <v>136.29280000000108</v>
      </c>
      <c r="F53" s="42">
        <v>136.29280000000108</v>
      </c>
      <c r="G53" s="42">
        <v>136.29280000000108</v>
      </c>
      <c r="H53" s="42">
        <v>136.29280000000108</v>
      </c>
      <c r="I53" s="42">
        <v>136.29280000000108</v>
      </c>
      <c r="J53" s="42">
        <v>136.29280000000108</v>
      </c>
      <c r="K53" s="42">
        <v>136.29280000000108</v>
      </c>
      <c r="L53" s="42">
        <v>136.29280000000108</v>
      </c>
    </row>
    <row r="54" spans="2:17" x14ac:dyDescent="0.25">
      <c r="B54" t="s">
        <v>9</v>
      </c>
      <c r="C54" s="12">
        <v>341.22854799999999</v>
      </c>
      <c r="D54" s="12">
        <v>347.74184400000001</v>
      </c>
      <c r="E54" s="12">
        <v>336.60865200000001</v>
      </c>
      <c r="F54" s="12">
        <v>323.08977599999997</v>
      </c>
      <c r="G54" s="12">
        <v>335.66195200000004</v>
      </c>
      <c r="H54" s="12">
        <v>318.92429600000003</v>
      </c>
      <c r="I54" s="12">
        <v>323.77140000000003</v>
      </c>
      <c r="J54" s="12">
        <v>373.18914000000007</v>
      </c>
      <c r="K54" s="12">
        <v>341.38002</v>
      </c>
    </row>
    <row r="55" spans="2:17" x14ac:dyDescent="0.25">
      <c r="B55" t="s">
        <v>26</v>
      </c>
      <c r="C55" s="46">
        <v>115.72799999999552</v>
      </c>
      <c r="D55" s="46">
        <v>115.72799999999552</v>
      </c>
      <c r="E55" s="46">
        <v>115.72799999999552</v>
      </c>
      <c r="F55" s="46">
        <v>115.72799999999552</v>
      </c>
      <c r="G55" s="46">
        <v>115.72799999999552</v>
      </c>
      <c r="H55" s="46">
        <v>115.72799999999552</v>
      </c>
      <c r="I55" s="46">
        <v>115.72799999999552</v>
      </c>
      <c r="J55" s="46">
        <v>115.72799999999552</v>
      </c>
      <c r="K55" s="46">
        <v>115.72799999999552</v>
      </c>
      <c r="L55" s="46">
        <v>115.72799999999552</v>
      </c>
    </row>
    <row r="56" spans="2:17" x14ac:dyDescent="0.25">
      <c r="B56" t="s">
        <v>27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</row>
    <row r="57" spans="2:17" x14ac:dyDescent="0.25">
      <c r="B57" t="s">
        <v>11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AC466-D62E-442E-9342-2BE61F4CCBEF}">
  <dimension ref="A4:X26"/>
  <sheetViews>
    <sheetView workbookViewId="0">
      <selection activeCell="S27" sqref="S27"/>
    </sheetView>
  </sheetViews>
  <sheetFormatPr baseColWidth="10" defaultColWidth="9.140625" defaultRowHeight="15" x14ac:dyDescent="0.25"/>
  <cols>
    <col min="1" max="1" width="24.7109375" bestFit="1" customWidth="1"/>
    <col min="2" max="2" width="12.7109375" bestFit="1" customWidth="1"/>
    <col min="3" max="3" width="9.7109375" bestFit="1" customWidth="1"/>
    <col min="5" max="5" width="12.28515625" bestFit="1" customWidth="1"/>
  </cols>
  <sheetData>
    <row r="4" spans="1:24" x14ac:dyDescent="0.25">
      <c r="C4" t="s">
        <v>31</v>
      </c>
      <c r="D4" t="s">
        <v>37</v>
      </c>
      <c r="E4" t="s">
        <v>33</v>
      </c>
      <c r="F4" t="s">
        <v>46</v>
      </c>
    </row>
    <row r="5" spans="1:24" x14ac:dyDescent="0.25">
      <c r="B5" t="s">
        <v>28</v>
      </c>
      <c r="C5" s="2">
        <v>0.77500000000000002</v>
      </c>
      <c r="D5" s="1">
        <v>0.97</v>
      </c>
      <c r="E5" s="5">
        <v>80</v>
      </c>
      <c r="F5" s="5">
        <v>20</v>
      </c>
    </row>
    <row r="6" spans="1:24" x14ac:dyDescent="0.25">
      <c r="B6" t="s">
        <v>29</v>
      </c>
      <c r="C6" s="2">
        <v>0.85</v>
      </c>
      <c r="D6" s="1">
        <v>0.99</v>
      </c>
      <c r="E6" s="5">
        <v>11</v>
      </c>
      <c r="F6" s="5">
        <v>2</v>
      </c>
    </row>
    <row r="9" spans="1:24" x14ac:dyDescent="0.25">
      <c r="A9" t="s">
        <v>41</v>
      </c>
      <c r="C9">
        <v>2025</v>
      </c>
      <c r="D9">
        <v>2030</v>
      </c>
      <c r="E9" s="28">
        <v>2035</v>
      </c>
      <c r="F9" s="28">
        <v>2040</v>
      </c>
      <c r="G9" s="28">
        <v>2045</v>
      </c>
      <c r="H9" s="28">
        <v>2050</v>
      </c>
      <c r="I9">
        <v>2021</v>
      </c>
      <c r="J9">
        <v>2022</v>
      </c>
      <c r="K9">
        <v>2023</v>
      </c>
      <c r="L9">
        <v>2024</v>
      </c>
    </row>
    <row r="10" spans="1:24" x14ac:dyDescent="0.25">
      <c r="B10" t="s">
        <v>28</v>
      </c>
      <c r="C10" s="47">
        <v>2781.5760000000009</v>
      </c>
      <c r="D10" s="47">
        <v>2781.5760000000009</v>
      </c>
      <c r="E10" s="47">
        <v>2781.5760000000009</v>
      </c>
      <c r="F10" s="47">
        <v>2781.5760000000009</v>
      </c>
      <c r="G10" s="47">
        <v>2781.5760000000009</v>
      </c>
      <c r="H10" s="47">
        <v>2781.5760000000009</v>
      </c>
      <c r="I10" s="47">
        <v>2781.5760000000009</v>
      </c>
      <c r="J10" s="47">
        <v>2781.5760000000009</v>
      </c>
      <c r="K10" s="47">
        <v>2781.5760000000009</v>
      </c>
      <c r="L10" s="47">
        <v>2781.5760000000009</v>
      </c>
      <c r="P10" s="27"/>
      <c r="Q10" s="28"/>
    </row>
    <row r="11" spans="1:24" x14ac:dyDescent="0.25">
      <c r="B11" t="s">
        <v>29</v>
      </c>
      <c r="C11" s="27">
        <v>1459.1300257560133</v>
      </c>
      <c r="D11" s="27">
        <v>1233.4811625763803</v>
      </c>
      <c r="E11" s="27">
        <v>1042.7280307952421</v>
      </c>
      <c r="F11" s="27">
        <v>881.47413936593534</v>
      </c>
      <c r="G11" s="27">
        <v>745.15754388834807</v>
      </c>
      <c r="H11" s="27">
        <v>629.92178717022182</v>
      </c>
      <c r="I11" s="18">
        <v>1686.6010000000001</v>
      </c>
      <c r="J11" s="18">
        <v>1652.5820000000001</v>
      </c>
      <c r="K11" s="18">
        <v>1618.5630000000001</v>
      </c>
      <c r="L11" s="18">
        <v>1584.5440000000001</v>
      </c>
      <c r="P11" s="27"/>
      <c r="Q11" s="28"/>
    </row>
    <row r="12" spans="1:24" x14ac:dyDescent="0.25">
      <c r="P12" s="27"/>
      <c r="Q12" s="28"/>
    </row>
    <row r="13" spans="1:24" x14ac:dyDescent="0.25">
      <c r="P13" s="27"/>
      <c r="Q13" s="28"/>
    </row>
    <row r="14" spans="1:24" x14ac:dyDescent="0.25">
      <c r="A14" t="s">
        <v>42</v>
      </c>
      <c r="C14" s="28">
        <v>2025</v>
      </c>
      <c r="D14" s="28">
        <v>2030</v>
      </c>
      <c r="E14" s="28">
        <v>2035</v>
      </c>
      <c r="F14" s="28">
        <v>2040</v>
      </c>
      <c r="G14" s="28">
        <v>2045</v>
      </c>
      <c r="H14" s="28">
        <v>2050</v>
      </c>
      <c r="I14">
        <v>2021</v>
      </c>
      <c r="J14">
        <v>2022</v>
      </c>
      <c r="K14">
        <v>2023</v>
      </c>
      <c r="L14">
        <v>2024</v>
      </c>
      <c r="P14" s="27"/>
      <c r="Q14" s="28"/>
    </row>
    <row r="15" spans="1:24" x14ac:dyDescent="0.25">
      <c r="B15" t="s">
        <v>28</v>
      </c>
      <c r="C15" s="48">
        <v>0.16049839999999996</v>
      </c>
      <c r="D15" s="48">
        <v>0.16049839999999996</v>
      </c>
      <c r="E15" s="48">
        <v>0.16049839999999996</v>
      </c>
      <c r="F15" s="48">
        <v>0.16049839999999996</v>
      </c>
      <c r="G15" s="48">
        <v>0.16049839999999996</v>
      </c>
      <c r="H15" s="48">
        <v>0.16049839999999996</v>
      </c>
      <c r="I15" s="48">
        <v>0.16049839999999996</v>
      </c>
      <c r="J15" s="48">
        <v>0.16049839999999996</v>
      </c>
      <c r="K15" s="48">
        <v>0.16049839999999996</v>
      </c>
      <c r="L15" s="48">
        <v>0.16049839999999996</v>
      </c>
      <c r="O15" s="48">
        <v>160.49839999999995</v>
      </c>
      <c r="P15" s="48">
        <v>160.49839999999995</v>
      </c>
      <c r="Q15" s="48">
        <v>160.49839999999995</v>
      </c>
      <c r="R15" s="48">
        <v>160.49839999999995</v>
      </c>
      <c r="S15" s="48">
        <v>160.49839999999995</v>
      </c>
      <c r="T15" s="48">
        <v>160.49839999999995</v>
      </c>
      <c r="U15" s="48">
        <v>160.49839999999995</v>
      </c>
      <c r="V15" s="48">
        <v>160.49839999999995</v>
      </c>
      <c r="W15" s="48">
        <v>160.49839999999995</v>
      </c>
      <c r="X15" s="48">
        <v>160.49839999999995</v>
      </c>
    </row>
    <row r="16" spans="1:24" x14ac:dyDescent="0.25">
      <c r="B16" t="s">
        <v>29</v>
      </c>
      <c r="C16" s="28">
        <v>0.45132312267072583</v>
      </c>
      <c r="D16" s="28">
        <v>0.27237602085091867</v>
      </c>
      <c r="E16" s="28">
        <v>0.16438044719616671</v>
      </c>
      <c r="F16" s="28">
        <v>9.9204516374074458E-2</v>
      </c>
      <c r="G16" s="28">
        <v>5.987047873929905E-2</v>
      </c>
      <c r="H16" s="28">
        <v>3.6132167722652209E-2</v>
      </c>
      <c r="I16" s="18">
        <v>0.39950599999999997</v>
      </c>
      <c r="J16" s="18">
        <v>0.33229199999999998</v>
      </c>
      <c r="K16" s="18">
        <v>0.26507799999999998</v>
      </c>
      <c r="L16" s="18">
        <v>0.19786400000000001</v>
      </c>
      <c r="O16" s="48">
        <v>451.32312267072581</v>
      </c>
      <c r="P16" s="48">
        <v>272.37602085091868</v>
      </c>
      <c r="Q16" s="48">
        <v>164.3804471961667</v>
      </c>
      <c r="R16" s="48">
        <v>99.204516374074458</v>
      </c>
      <c r="S16" s="48">
        <v>59.870478739299053</v>
      </c>
      <c r="T16" s="48">
        <v>36.132167722652206</v>
      </c>
      <c r="U16" s="48">
        <v>399.50599999999997</v>
      </c>
      <c r="V16" s="48">
        <v>332.29199999999997</v>
      </c>
      <c r="W16" s="48">
        <v>265.07799999999997</v>
      </c>
      <c r="X16" s="48">
        <v>197.864</v>
      </c>
    </row>
    <row r="18" spans="1:24" x14ac:dyDescent="0.25">
      <c r="O18">
        <f>O15/1000</f>
        <v>0.16049839999999996</v>
      </c>
      <c r="P18" s="48">
        <f t="shared" ref="P18:X18" si="0">P15/1000</f>
        <v>0.16049839999999996</v>
      </c>
      <c r="Q18" s="48">
        <f t="shared" si="0"/>
        <v>0.16049839999999996</v>
      </c>
      <c r="R18" s="48">
        <f t="shared" si="0"/>
        <v>0.16049839999999996</v>
      </c>
      <c r="S18" s="48">
        <f t="shared" si="0"/>
        <v>0.16049839999999996</v>
      </c>
      <c r="T18" s="48">
        <f t="shared" si="0"/>
        <v>0.16049839999999996</v>
      </c>
      <c r="U18" s="48">
        <f t="shared" si="0"/>
        <v>0.16049839999999996</v>
      </c>
      <c r="V18" s="48">
        <f t="shared" si="0"/>
        <v>0.16049839999999996</v>
      </c>
      <c r="W18" s="48">
        <f t="shared" si="0"/>
        <v>0.16049839999999996</v>
      </c>
      <c r="X18" s="48">
        <f t="shared" si="0"/>
        <v>0.16049839999999996</v>
      </c>
    </row>
    <row r="19" spans="1:24" x14ac:dyDescent="0.25">
      <c r="A19" t="s">
        <v>43</v>
      </c>
      <c r="C19" s="28">
        <v>2025</v>
      </c>
      <c r="D19" s="28">
        <v>2030</v>
      </c>
      <c r="E19" s="28">
        <v>2035</v>
      </c>
      <c r="F19" s="28">
        <v>2040</v>
      </c>
      <c r="G19" s="28">
        <v>2045</v>
      </c>
      <c r="H19" s="28">
        <v>2050</v>
      </c>
      <c r="I19">
        <v>2021</v>
      </c>
      <c r="J19">
        <v>2022</v>
      </c>
      <c r="K19">
        <v>2023</v>
      </c>
      <c r="L19">
        <v>2024</v>
      </c>
      <c r="O19">
        <f>O16/1000</f>
        <v>0.45132312267072583</v>
      </c>
      <c r="P19" s="48">
        <f t="shared" ref="P19:X19" si="1">P16/1000</f>
        <v>0.27237602085091867</v>
      </c>
      <c r="Q19" s="48">
        <f t="shared" si="1"/>
        <v>0.16438044719616671</v>
      </c>
      <c r="R19" s="48">
        <f t="shared" si="1"/>
        <v>9.9204516374074458E-2</v>
      </c>
      <c r="S19" s="48">
        <f t="shared" si="1"/>
        <v>5.987047873929905E-2</v>
      </c>
      <c r="T19" s="48">
        <f t="shared" si="1"/>
        <v>3.6132167722652209E-2</v>
      </c>
      <c r="U19" s="48">
        <f t="shared" si="1"/>
        <v>0.39950599999999997</v>
      </c>
      <c r="V19" s="48">
        <f t="shared" si="1"/>
        <v>0.33229199999999998</v>
      </c>
      <c r="W19" s="48">
        <f t="shared" si="1"/>
        <v>0.26507799999999998</v>
      </c>
      <c r="X19" s="48">
        <f t="shared" si="1"/>
        <v>0.19786400000000001</v>
      </c>
    </row>
    <row r="20" spans="1:24" x14ac:dyDescent="0.25">
      <c r="B20" t="s">
        <v>28</v>
      </c>
      <c r="C20">
        <v>6</v>
      </c>
      <c r="D20" s="13">
        <v>6</v>
      </c>
      <c r="E20" s="13">
        <v>6</v>
      </c>
      <c r="F20" s="13">
        <v>6</v>
      </c>
      <c r="G20" s="13">
        <v>6</v>
      </c>
      <c r="H20" s="13">
        <v>6</v>
      </c>
      <c r="I20" s="13">
        <v>6</v>
      </c>
      <c r="J20" s="13">
        <v>6</v>
      </c>
      <c r="K20" s="13">
        <v>6</v>
      </c>
      <c r="L20" s="13">
        <v>6</v>
      </c>
    </row>
    <row r="21" spans="1:24" x14ac:dyDescent="0.25">
      <c r="B21" t="s">
        <v>29</v>
      </c>
      <c r="C21">
        <v>2</v>
      </c>
      <c r="D21" s="13">
        <v>2</v>
      </c>
      <c r="E21" s="13">
        <v>2</v>
      </c>
      <c r="F21" s="13">
        <v>2</v>
      </c>
      <c r="G21" s="13">
        <v>2</v>
      </c>
      <c r="H21" s="13">
        <v>2</v>
      </c>
      <c r="I21" s="13">
        <v>2</v>
      </c>
      <c r="J21" s="13">
        <v>2</v>
      </c>
      <c r="K21" s="13">
        <v>2</v>
      </c>
      <c r="L21" s="13">
        <v>2</v>
      </c>
    </row>
    <row r="24" spans="1:24" x14ac:dyDescent="0.25">
      <c r="A24" t="s">
        <v>44</v>
      </c>
      <c r="C24" s="28">
        <v>2025</v>
      </c>
      <c r="D24" s="28">
        <v>2030</v>
      </c>
      <c r="E24" s="28">
        <v>2035</v>
      </c>
      <c r="F24" s="28">
        <v>2040</v>
      </c>
      <c r="G24" s="28">
        <v>2045</v>
      </c>
      <c r="H24" s="28">
        <v>2050</v>
      </c>
      <c r="I24">
        <v>2021</v>
      </c>
      <c r="J24">
        <v>2022</v>
      </c>
      <c r="K24">
        <v>2023</v>
      </c>
      <c r="L24">
        <v>2024</v>
      </c>
    </row>
    <row r="25" spans="1:24" x14ac:dyDescent="0.25">
      <c r="B25" t="s">
        <v>28</v>
      </c>
      <c r="C25">
        <v>0.75</v>
      </c>
      <c r="D25" s="13">
        <v>0.75</v>
      </c>
      <c r="E25" s="13">
        <v>0.75</v>
      </c>
      <c r="F25" s="13">
        <v>0.75</v>
      </c>
      <c r="G25" s="13">
        <v>0.75</v>
      </c>
      <c r="H25" s="13">
        <v>0.75</v>
      </c>
      <c r="I25" s="13">
        <v>0.75</v>
      </c>
      <c r="J25" s="13">
        <v>0.75</v>
      </c>
      <c r="K25" s="13">
        <v>0.75</v>
      </c>
      <c r="L25" s="13">
        <v>0.75</v>
      </c>
    </row>
    <row r="26" spans="1:24" x14ac:dyDescent="0.25">
      <c r="B26" t="s">
        <v>29</v>
      </c>
      <c r="C26">
        <v>0.9</v>
      </c>
      <c r="D26" s="13">
        <v>0.9</v>
      </c>
      <c r="E26" s="13">
        <v>0.9</v>
      </c>
      <c r="F26" s="13">
        <v>0.9</v>
      </c>
      <c r="G26" s="13">
        <v>0.9</v>
      </c>
      <c r="H26" s="13">
        <v>0.9</v>
      </c>
      <c r="I26" s="13">
        <v>0.9</v>
      </c>
      <c r="J26" s="13">
        <v>0.9</v>
      </c>
      <c r="K26" s="13">
        <v>0.9</v>
      </c>
      <c r="L26" s="13">
        <v>0.9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870AB-8EA7-401B-9C9C-5085E44C8BC7}">
  <dimension ref="C3:D15"/>
  <sheetViews>
    <sheetView workbookViewId="0">
      <selection activeCell="I31" sqref="I31"/>
    </sheetView>
  </sheetViews>
  <sheetFormatPr baseColWidth="10" defaultColWidth="9.140625" defaultRowHeight="15" x14ac:dyDescent="0.25"/>
  <sheetData>
    <row r="3" spans="3:4" x14ac:dyDescent="0.25">
      <c r="C3" t="s">
        <v>30</v>
      </c>
    </row>
    <row r="6" spans="3:4" x14ac:dyDescent="0.25">
      <c r="C6">
        <v>2025</v>
      </c>
      <c r="D6">
        <v>100</v>
      </c>
    </row>
    <row r="7" spans="3:4" x14ac:dyDescent="0.25">
      <c r="C7">
        <v>2030</v>
      </c>
      <c r="D7">
        <v>130</v>
      </c>
    </row>
    <row r="8" spans="3:4" x14ac:dyDescent="0.25">
      <c r="C8" s="28">
        <v>2035</v>
      </c>
      <c r="D8">
        <v>170</v>
      </c>
    </row>
    <row r="9" spans="3:4" x14ac:dyDescent="0.25">
      <c r="C9" s="28">
        <v>2040</v>
      </c>
      <c r="D9">
        <v>210</v>
      </c>
    </row>
    <row r="10" spans="3:4" x14ac:dyDescent="0.25">
      <c r="C10" s="28">
        <v>2045</v>
      </c>
      <c r="D10">
        <v>270</v>
      </c>
    </row>
    <row r="11" spans="3:4" x14ac:dyDescent="0.25">
      <c r="C11" s="28">
        <v>2050</v>
      </c>
      <c r="D11">
        <v>350</v>
      </c>
    </row>
    <row r="12" spans="3:4" x14ac:dyDescent="0.25">
      <c r="C12">
        <v>2021</v>
      </c>
      <c r="D12">
        <v>52.9</v>
      </c>
    </row>
    <row r="13" spans="3:4" x14ac:dyDescent="0.25">
      <c r="C13">
        <v>2022</v>
      </c>
      <c r="D13">
        <v>79.7</v>
      </c>
    </row>
    <row r="14" spans="3:4" x14ac:dyDescent="0.25">
      <c r="C14">
        <v>2023</v>
      </c>
      <c r="D14">
        <v>83.3</v>
      </c>
    </row>
    <row r="15" spans="3:4" x14ac:dyDescent="0.25">
      <c r="C15">
        <v>2024</v>
      </c>
      <c r="D15">
        <v>67.534999999999997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fuel_conv</vt:lpstr>
      <vt:lpstr>fuel_renew</vt:lpstr>
      <vt:lpstr>tech_conv</vt:lpstr>
      <vt:lpstr>outages_conv</vt:lpstr>
      <vt:lpstr>tech_renew</vt:lpstr>
      <vt:lpstr>tech_stor</vt:lpstr>
      <vt:lpstr>co2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Gams_Froehlich</dc:creator>
  <cp:lastModifiedBy>Pascal Fröhlich</cp:lastModifiedBy>
  <dcterms:created xsi:type="dcterms:W3CDTF">2024-09-17T09:01:26Z</dcterms:created>
  <dcterms:modified xsi:type="dcterms:W3CDTF">2026-06-01T07:18:32Z</dcterms:modified>
</cp:coreProperties>
</file>