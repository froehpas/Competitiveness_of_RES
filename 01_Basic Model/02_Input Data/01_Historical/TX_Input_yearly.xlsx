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Competitiveness_of_RES\01_Basic Model\02_Input Data\01_Historical\"/>
    </mc:Choice>
  </mc:AlternateContent>
  <xr:revisionPtr revIDLastSave="0" documentId="13_ncr:1_{33E6B9CC-4A79-4CD6-B160-9AAC96C0B150}" xr6:coauthVersionLast="47" xr6:coauthVersionMax="47" xr10:uidLastSave="{00000000-0000-0000-0000-000000000000}"/>
  <bookViews>
    <workbookView xWindow="38280" yWindow="45" windowWidth="38640" windowHeight="21120" activeTab="1" xr2:uid="{9BA085BD-A4BD-4D3B-9BBD-ABB9433EC046}"/>
  </bookViews>
  <sheets>
    <sheet name="fuel_conv" sheetId="1" r:id="rId1"/>
    <sheet name="fuel_renew" sheetId="2" r:id="rId2"/>
    <sheet name="tech_conv" sheetId="3" r:id="rId3"/>
    <sheet name="outages_conv" sheetId="8" r:id="rId4"/>
    <sheet name="tech_renew" sheetId="4" r:id="rId5"/>
    <sheet name="tech_stor" sheetId="5" r:id="rId6"/>
    <sheet name="co2" sheetId="6" r:id="rId7"/>
    <sheet name="ntc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4" i="4" l="1"/>
  <c r="E14" i="4"/>
  <c r="C14" i="4"/>
</calcChain>
</file>

<file path=xl/sharedStrings.xml><?xml version="1.0" encoding="utf-8"?>
<sst xmlns="http://schemas.openxmlformats.org/spreadsheetml/2006/main" count="155" uniqueCount="48">
  <si>
    <t>fuelprice</t>
  </si>
  <si>
    <t>uranium</t>
  </si>
  <si>
    <t>lignite</t>
  </si>
  <si>
    <t>hardcoal</t>
  </si>
  <si>
    <t>gas</t>
  </si>
  <si>
    <t>solar</t>
  </si>
  <si>
    <t>wind</t>
  </si>
  <si>
    <t>hydro</t>
  </si>
  <si>
    <t>bioenergy</t>
  </si>
  <si>
    <t>waste</t>
  </si>
  <si>
    <t>otherres</t>
  </si>
  <si>
    <t>othergas</t>
  </si>
  <si>
    <t>nuclear</t>
  </si>
  <si>
    <t>ccgt</t>
  </si>
  <si>
    <t>ocgt</t>
  </si>
  <si>
    <t>windoffshore</t>
  </si>
  <si>
    <t>runofriver</t>
  </si>
  <si>
    <t>reservoir</t>
  </si>
  <si>
    <t>geothermal</t>
  </si>
  <si>
    <t>marine</t>
  </si>
  <si>
    <t>pumpstorage</t>
  </si>
  <si>
    <t>battery</t>
  </si>
  <si>
    <t>carbonprice</t>
  </si>
  <si>
    <t>efficiency</t>
  </si>
  <si>
    <t>gmin</t>
  </si>
  <si>
    <t>lifetime_eco</t>
  </si>
  <si>
    <t>covernight</t>
  </si>
  <si>
    <t>startup_fuelconsumption</t>
  </si>
  <si>
    <t>startup_fixcost</t>
  </si>
  <si>
    <t>avail</t>
  </si>
  <si>
    <t>carboncontent</t>
  </si>
  <si>
    <t>oil</t>
  </si>
  <si>
    <t>renew_disp</t>
  </si>
  <si>
    <t>renew_curt</t>
  </si>
  <si>
    <t>covernight_kW</t>
  </si>
  <si>
    <t>covernight_MWh</t>
  </si>
  <si>
    <t>storageduration</t>
  </si>
  <si>
    <t>discharge_to_charge_ratio</t>
  </si>
  <si>
    <t>cvarom MWh</t>
  </si>
  <si>
    <t>*cfix</t>
  </si>
  <si>
    <t>SOC</t>
  </si>
  <si>
    <t>COA</t>
  </si>
  <si>
    <t>SOU</t>
  </si>
  <si>
    <t>windonshore</t>
  </si>
  <si>
    <t>NOR</t>
  </si>
  <si>
    <t>FAW</t>
  </si>
  <si>
    <t>WES</t>
  </si>
  <si>
    <t>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</si>
</sst>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_-* #,##0.00\ _€_-;\-* #,##0.00\ _€_-;_-* &quot;-&quot;??\ _€_-;_-@_-"/>
    <numFmt numFmtId="165" formatCode="_-* #,##0\ _€_-;\-* #,##0\ _€_-;_-* &quot;-&quot;??\ _€_-;_-@_-"/>
    <numFmt numFmtId="169" formatCode="_-* #,##0.00_-;\-* #,##0.00_-;_-* &quot;-&quot;??_-;_-@_-"/>
    <numFmt numFmtId="171" formatCode="[$-1010809]dd/mm/yyyy"/>
    <numFmt numFmtId="173" formatCode="_-* #,##0.00\ &quot;DM&quot;_-;\-* #,##0.00\ &quot;DM&quot;_-;_-* &quot;-&quot;??\ &quot;DM&quot;_-;_-@_-"/>
    <numFmt numFmtId="174" formatCode="_-* #,##0.00\ _D_M_-;\-* #,##0.00\ _D_M_-;_-* &quot;-&quot;??\ _D_M_-;_-@_-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Times New Roman"/>
      <family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name val="MS Sans Serif"/>
      <family val="2"/>
    </font>
    <font>
      <sz val="10"/>
      <name val="Arial"/>
      <family val="2"/>
    </font>
    <font>
      <sz val="10"/>
      <color indexed="72"/>
      <name val="MS Sans Serif"/>
      <family val="2"/>
    </font>
    <font>
      <b/>
      <sz val="13"/>
      <color indexed="56"/>
      <name val="Calibri"/>
      <family val="2"/>
    </font>
    <font>
      <b/>
      <sz val="15"/>
      <color indexed="56"/>
      <name val="Calibri"/>
      <family val="2"/>
    </font>
    <font>
      <sz val="10"/>
      <color rgb="FF006100"/>
      <name val="Verdana"/>
      <family val="2"/>
    </font>
    <font>
      <u/>
      <sz val="10"/>
      <color theme="10"/>
      <name val="Arial"/>
      <family val="2"/>
    </font>
    <font>
      <sz val="10"/>
      <color theme="1"/>
      <name val="Verdana"/>
      <family val="2"/>
    </font>
    <font>
      <sz val="12"/>
      <color rgb="FF000000"/>
      <name val="Calibri"/>
      <family val="2"/>
    </font>
    <font>
      <u/>
      <sz val="10"/>
      <color rgb="FF0000FF"/>
      <name val="MS Sans Serif"/>
    </font>
    <font>
      <u/>
      <sz val="12"/>
      <color rgb="FF0000FF"/>
      <name val="Calibri"/>
      <family val="2"/>
    </font>
    <font>
      <u/>
      <sz val="10"/>
      <color indexed="12"/>
      <name val="MS Sans Serif"/>
      <family val="2"/>
    </font>
    <font>
      <b/>
      <sz val="20"/>
      <name val="Calibri"/>
      <family val="2"/>
    </font>
    <font>
      <b/>
      <sz val="16"/>
      <name val="Calibri"/>
      <family val="2"/>
    </font>
    <font>
      <sz val="12"/>
      <name val="Calibri"/>
      <family val="2"/>
    </font>
    <font>
      <b/>
      <sz val="14"/>
      <name val="Calibri"/>
      <family val="2"/>
    </font>
    <font>
      <sz val="10"/>
      <color indexed="8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u/>
      <sz val="10"/>
      <color indexed="12"/>
      <name val="Arial"/>
      <family val="2"/>
    </font>
    <font>
      <sz val="11"/>
      <color indexed="8"/>
      <name val="Calibri"/>
      <family val="2"/>
      <scheme val="minor"/>
    </font>
    <font>
      <sz val="10"/>
      <color theme="1"/>
      <name val="Tahoma"/>
      <family val="2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</borders>
  <cellStyleXfs count="220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9" fillId="0" borderId="0"/>
    <xf numFmtId="169" fontId="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26" fillId="2" borderId="0" applyNumberFormat="0" applyBorder="0" applyAlignment="0" applyProtection="0"/>
    <xf numFmtId="0" fontId="25" fillId="0" borderId="10" applyNumberFormat="0" applyFill="0" applyAlignment="0" applyProtection="0"/>
    <xf numFmtId="0" fontId="24" fillId="0" borderId="11" applyNumberFormat="0" applyFill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/>
    <xf numFmtId="0" fontId="1" fillId="0" borderId="0"/>
    <xf numFmtId="0" fontId="22" fillId="0" borderId="0">
      <alignment wrapText="1"/>
    </xf>
    <xf numFmtId="0" fontId="22" fillId="0" borderId="0">
      <alignment wrapText="1"/>
    </xf>
    <xf numFmtId="0" fontId="28" fillId="0" borderId="0"/>
    <xf numFmtId="0" fontId="1" fillId="0" borderId="0"/>
    <xf numFmtId="0" fontId="19" fillId="0" borderId="0"/>
    <xf numFmtId="0" fontId="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2" fillId="0" borderId="0">
      <alignment wrapText="1"/>
    </xf>
    <xf numFmtId="0" fontId="19" fillId="0" borderId="0"/>
    <xf numFmtId="0" fontId="22" fillId="0" borderId="0"/>
    <xf numFmtId="0" fontId="21" fillId="0" borderId="0"/>
    <xf numFmtId="0" fontId="21" fillId="0" borderId="0"/>
    <xf numFmtId="171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9" fillId="0" borderId="0" applyNumberFormat="0" applyBorder="0" applyProtection="0">
      <alignment vertical="center" wrapText="1"/>
    </xf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9" fontId="19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0" fillId="0" borderId="0" applyNumberFormat="0" applyFill="0" applyBorder="0" applyAlignment="0" applyProtection="0"/>
    <xf numFmtId="169" fontId="21" fillId="0" borderId="0" applyFont="0" applyFill="0" applyBorder="0" applyAlignment="0" applyProtection="0"/>
    <xf numFmtId="0" fontId="31" fillId="0" borderId="0" applyNumberForma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0" fontId="21" fillId="0" borderId="0"/>
    <xf numFmtId="0" fontId="35" fillId="0" borderId="0">
      <alignment vertical="center"/>
    </xf>
    <xf numFmtId="0" fontId="22" fillId="0" borderId="0"/>
    <xf numFmtId="0" fontId="32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Protection="0"/>
    <xf numFmtId="0" fontId="34" fillId="0" borderId="0" applyNumberFormat="0" applyFill="0" applyProtection="0">
      <alignment horizontal="left"/>
    </xf>
    <xf numFmtId="0" fontId="33" fillId="0" borderId="0" applyNumberFormat="0" applyFill="0" applyProtection="0">
      <alignment horizontal="left" vertical="center"/>
    </xf>
    <xf numFmtId="169" fontId="22" fillId="0" borderId="0" applyFont="0" applyFill="0" applyBorder="0" applyAlignment="0" applyProtection="0"/>
    <xf numFmtId="0" fontId="22" fillId="0" borderId="0"/>
    <xf numFmtId="164" fontId="1" fillId="0" borderId="0" applyFont="0" applyFill="0" applyBorder="0" applyAlignment="0" applyProtection="0"/>
    <xf numFmtId="0" fontId="37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2" fillId="0" borderId="0">
      <alignment vertical="center"/>
    </xf>
    <xf numFmtId="169" fontId="22" fillId="0" borderId="0" applyFont="0" applyFill="0" applyBorder="0" applyAlignment="0" applyProtection="0"/>
    <xf numFmtId="0" fontId="38" fillId="4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169" fontId="1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22" fillId="0" borderId="0"/>
    <xf numFmtId="174" fontId="22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22" fillId="0" borderId="0"/>
    <xf numFmtId="173" fontId="22" fillId="0" borderId="0" applyFont="0" applyFill="0" applyBorder="0" applyAlignment="0" applyProtection="0"/>
    <xf numFmtId="0" fontId="1" fillId="0" borderId="0"/>
    <xf numFmtId="0" fontId="22" fillId="0" borderId="0">
      <alignment vertical="center"/>
    </xf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3" fillId="0" borderId="0"/>
    <xf numFmtId="0" fontId="41" fillId="0" borderId="0"/>
    <xf numFmtId="0" fontId="42" fillId="0" borderId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9">
    <xf numFmtId="0" fontId="0" fillId="0" borderId="0" xfId="0"/>
    <xf numFmtId="9" fontId="0" fillId="0" borderId="0" xfId="0" applyNumberFormat="1"/>
    <xf numFmtId="9" fontId="0" fillId="0" borderId="0" xfId="1" applyFont="1"/>
    <xf numFmtId="9" fontId="2" fillId="0" borderId="0" xfId="0" applyNumberFormat="1" applyFont="1"/>
    <xf numFmtId="9" fontId="2" fillId="0" borderId="0" xfId="1" applyFont="1"/>
    <xf numFmtId="165" fontId="0" fillId="0" borderId="0" xfId="2" applyNumberFormat="1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220">
    <cellStyle name="20 % - Akzent1" xfId="25" builtinId="30" customBuiltin="1"/>
    <cellStyle name="20 % - Akzent2" xfId="28" builtinId="34" customBuiltin="1"/>
    <cellStyle name="20 % - Akzent3" xfId="31" builtinId="38" customBuiltin="1"/>
    <cellStyle name="20 % - Akzent4" xfId="34" builtinId="42" customBuiltin="1"/>
    <cellStyle name="20 % - Akzent5" xfId="37" builtinId="46" customBuiltin="1"/>
    <cellStyle name="20 % - Akzent6" xfId="40" builtinId="50" customBuiltin="1"/>
    <cellStyle name="40 % - Akzent1" xfId="26" builtinId="31" customBuiltin="1"/>
    <cellStyle name="40 % - Akzent2" xfId="29" builtinId="35" customBuiltin="1"/>
    <cellStyle name="40 % - Akzent3" xfId="32" builtinId="39" customBuiltin="1"/>
    <cellStyle name="40 % - Akzent4" xfId="35" builtinId="43" customBuiltin="1"/>
    <cellStyle name="40 % - Akzent5" xfId="38" builtinId="47" customBuiltin="1"/>
    <cellStyle name="40 % - Akzent6" xfId="41" builtinId="51" customBuiltin="1"/>
    <cellStyle name="60 % - Akzent1 2" xfId="144" xr:uid="{5C795858-07FA-45DF-90D4-9EBBB0997704}"/>
    <cellStyle name="60 % - Akzent2 2" xfId="145" xr:uid="{7D9F41BB-8DBE-4DA6-8C3B-DC95946EB2F8}"/>
    <cellStyle name="60 % - Akzent3 2" xfId="146" xr:uid="{699A2D2E-F76C-447B-9070-BB9287FD409D}"/>
    <cellStyle name="60 % - Akzent4 2" xfId="147" xr:uid="{126961A9-2983-4736-B8E3-89BC0BA15D1C}"/>
    <cellStyle name="60 % - Akzent5 2" xfId="148" xr:uid="{E7D52316-CAAF-4575-AC8B-960470601080}"/>
    <cellStyle name="60 % - Akzent6 2" xfId="149" xr:uid="{6BD1395D-55D3-440B-83CA-F6C5AA4BAC38}"/>
    <cellStyle name="Akzent1" xfId="24" builtinId="29" customBuiltin="1"/>
    <cellStyle name="Akzent2" xfId="27" builtinId="33" customBuiltin="1"/>
    <cellStyle name="Akzent3" xfId="30" builtinId="37" customBuiltin="1"/>
    <cellStyle name="Akzent4" xfId="33" builtinId="41" customBuiltin="1"/>
    <cellStyle name="Akzent5" xfId="36" builtinId="45" customBuiltin="1"/>
    <cellStyle name="Akzent6" xfId="39" builtinId="49" customBuiltin="1"/>
    <cellStyle name="Ausgabe" xfId="16" builtinId="21" customBuiltin="1"/>
    <cellStyle name="Berechnung" xfId="17" builtinId="22" customBuiltin="1"/>
    <cellStyle name="Comma 11" xfId="123" xr:uid="{6FA890AE-3812-4344-B6C4-881A9491E059}"/>
    <cellStyle name="Comma 11 2" xfId="197" xr:uid="{97AEA0F2-1DDC-4C9F-8354-48386FB97222}"/>
    <cellStyle name="Comma 2" xfId="47" xr:uid="{455B8386-E628-453E-8912-035627D2DA7F}"/>
    <cellStyle name="Comma 2 10" xfId="178" xr:uid="{2D794FD0-6723-4BEB-8F6F-40ABBEA44505}"/>
    <cellStyle name="Comma 2 2" xfId="48" xr:uid="{A555D1DC-529A-4E77-8059-8BE036628FBE}"/>
    <cellStyle name="Comma 2 2 2" xfId="179" xr:uid="{2EB573DB-71B3-4EE2-A1AE-65D59E15C89A}"/>
    <cellStyle name="Comma 2 3" xfId="49" xr:uid="{100FB817-2898-4E8B-A14E-9D6F96B4A046}"/>
    <cellStyle name="Comma 2 3 2" xfId="50" xr:uid="{C4C1A8C4-F12B-4616-94DB-583AA8AAE369}"/>
    <cellStyle name="Comma 2 3 2 2" xfId="181" xr:uid="{DB0B764F-229F-4AB7-8C41-2508C7C17DEE}"/>
    <cellStyle name="Comma 2 3 3" xfId="180" xr:uid="{673BA8CE-7226-4081-8ECB-1965BBF51A79}"/>
    <cellStyle name="Comma 2 4" xfId="51" xr:uid="{FFCD458A-9DFD-46C8-985D-ED8368F72C5C}"/>
    <cellStyle name="Comma 2 4 2" xfId="182" xr:uid="{6056CDCE-5E88-457C-BF8E-CC0C899F9D20}"/>
    <cellStyle name="Comma 2 5" xfId="52" xr:uid="{E7D0F668-8246-45E6-8758-07764FFFCC53}"/>
    <cellStyle name="Comma 2 5 2" xfId="183" xr:uid="{29694841-86BA-46F1-BA1D-A0CA1B0FF227}"/>
    <cellStyle name="Comma 2 6" xfId="53" xr:uid="{36F7A306-901A-4079-BBC7-19C46BE37C89}"/>
    <cellStyle name="Comma 2 6 2" xfId="184" xr:uid="{B3F6F93A-56B7-44C0-9F6A-BE432304DF42}"/>
    <cellStyle name="Comma 2 7" xfId="54" xr:uid="{405DC28B-9A87-45BB-BF64-759CEF7E0A7D}"/>
    <cellStyle name="Comma 2 7 2" xfId="185" xr:uid="{8B9C2E35-35BF-4F1C-B72E-0408FDEA28F1}"/>
    <cellStyle name="Comma 2 8" xfId="55" xr:uid="{8D7F2223-DF1A-49E8-A455-D0AB9088F59C}"/>
    <cellStyle name="Comma 2 8 2" xfId="186" xr:uid="{F99B8985-E84F-4F83-9332-0770774D43E7}"/>
    <cellStyle name="Comma 2 9" xfId="56" xr:uid="{361C8F9E-9B40-4403-9B72-8021DD3F0DB9}"/>
    <cellStyle name="Comma 2 9 2" xfId="187" xr:uid="{FF53AA27-E96C-4948-B962-EB778500F0DC}"/>
    <cellStyle name="Comma 3" xfId="57" xr:uid="{D3DD8898-8E5A-4710-A04C-5B632D21909E}"/>
    <cellStyle name="Comma 3 2" xfId="58" xr:uid="{3FDBCB4C-28B4-43CF-A391-475541C5CC59}"/>
    <cellStyle name="Comma 3 2 2" xfId="189" xr:uid="{4F67F448-D0C9-488A-9964-C83B4C42A107}"/>
    <cellStyle name="Comma 3 3" xfId="188" xr:uid="{A9A7EF51-2FE8-4BAA-8F1D-C8001172523C}"/>
    <cellStyle name="Comma 4" xfId="59" xr:uid="{955103AB-19D5-4787-B80F-9DB349C47181}"/>
    <cellStyle name="Comma 4 2" xfId="60" xr:uid="{0F98BF19-9917-4916-B40B-44F8FE668BA6}"/>
    <cellStyle name="Comma 4 2 2" xfId="168" xr:uid="{6D5F3BB2-0552-4467-9678-D4BF79A213E5}"/>
    <cellStyle name="Comma 4 2 2 2" xfId="215" xr:uid="{3E3E27AC-BED3-4F74-9433-D9756D3C69FA}"/>
    <cellStyle name="Comma 4 2 3" xfId="204" xr:uid="{1D37163B-6365-434D-A345-3B9CDC50AD20}"/>
    <cellStyle name="Comma 4 3" xfId="167" xr:uid="{5FB9ED0C-90FE-43F4-8707-548A6E3F721D}"/>
    <cellStyle name="Comma 4 3 2" xfId="214" xr:uid="{8D11A58B-36E0-4434-8376-F04F31F6A4C9}"/>
    <cellStyle name="Comma 4 4" xfId="203" xr:uid="{62B3438D-8C1D-4590-AF98-84CD6D9F61C0}"/>
    <cellStyle name="Comma 5" xfId="61" xr:uid="{311D6DA8-F64C-4E01-9C08-11E4FE693CB9}"/>
    <cellStyle name="Comma 5 2" xfId="62" xr:uid="{5BFA3899-94E8-4016-B28A-BEF703D58B62}"/>
    <cellStyle name="Comma 5 2 2" xfId="191" xr:uid="{5C14CFAE-BFBC-47D8-8D5D-7F20155AE97F}"/>
    <cellStyle name="Comma 5 3" xfId="190" xr:uid="{5B4B10B1-C33A-4CD7-89FB-1613EB5D35B8}"/>
    <cellStyle name="Comma 6" xfId="63" xr:uid="{55EE107C-24D5-4C00-86E7-E56ED9224051}"/>
    <cellStyle name="Comma 6 2" xfId="64" xr:uid="{11872A89-0F13-49DB-8934-8EEAE93A8F5F}"/>
    <cellStyle name="Comma 6 2 2" xfId="193" xr:uid="{E784A0A1-5669-4F88-9694-27BBDF95DABE}"/>
    <cellStyle name="Comma 6 3" xfId="65" xr:uid="{9969987F-3837-4BC9-9D2D-6774C4521C6F}"/>
    <cellStyle name="Comma 6 3 2" xfId="194" xr:uid="{2B3E7C12-14FF-4754-A4A1-DD5A36D96317}"/>
    <cellStyle name="Comma 6 4" xfId="192" xr:uid="{05A78809-9D60-40C2-A21B-F1FD456AAEF6}"/>
    <cellStyle name="Comma 7" xfId="66" xr:uid="{93D84C3E-E362-4B4B-ABE2-30D46670CD16}"/>
    <cellStyle name="Comma 7 2" xfId="195" xr:uid="{EFADD24C-9808-466C-AF49-6EAF40256B88}"/>
    <cellStyle name="Comma 8" xfId="67" xr:uid="{2B8ABA8B-E853-425B-920C-766DE63B0AE2}"/>
    <cellStyle name="Comma 8 2" xfId="196" xr:uid="{32FD3890-0652-46F2-B3F1-1C0729B50B25}"/>
    <cellStyle name="Eingabe" xfId="15" builtinId="20" customBuiltin="1"/>
    <cellStyle name="Ergebnis" xfId="23" builtinId="25" customBuiltin="1"/>
    <cellStyle name="Erklärender Text" xfId="22" builtinId="53" customBuiltin="1"/>
    <cellStyle name="Good 2" xfId="68" xr:uid="{EEAB0662-BFA2-4B90-AB14-598EFA22379B}"/>
    <cellStyle name="Gut" xfId="13" builtinId="26" customBuiltin="1"/>
    <cellStyle name="Heading 1 2" xfId="69" xr:uid="{0E0F49F4-C421-4D12-90A2-34D78142CFDD}"/>
    <cellStyle name="Heading 2 2" xfId="70" xr:uid="{932EC31A-5E1C-47D9-AB2B-837C3917BB48}"/>
    <cellStyle name="Hyperlink 2" xfId="72" xr:uid="{AC10F264-15A1-4A0D-803B-2BB36E575150}"/>
    <cellStyle name="Hyperlink 2 2" xfId="130" xr:uid="{73F77E43-DB00-4762-B43F-A14498D69A63}"/>
    <cellStyle name="Hyperlink 2 3" xfId="122" xr:uid="{421225FE-545A-476C-B1EE-CC6BB68D16AD}"/>
    <cellStyle name="Hyperlink 2 3 2" xfId="124" xr:uid="{BA2D97D3-25D1-44A2-B0EA-9A2D3E2A2FB0}"/>
    <cellStyle name="Hyperlink 3" xfId="73" xr:uid="{4C81C931-8384-4210-ACD5-55E51D9604A0}"/>
    <cellStyle name="Komma 2" xfId="2" xr:uid="{AF1FA308-5BB0-4765-9052-001723E4E16E}"/>
    <cellStyle name="Komma 2 2" xfId="6" xr:uid="{546B1FA4-ED3D-4CCF-BFB1-6934F261636D}"/>
    <cellStyle name="Komma 2 2 2" xfId="7" xr:uid="{C0449768-2484-446A-AB6E-F20247C009BA}"/>
    <cellStyle name="Komma 2 2 2 2" xfId="44" xr:uid="{BA0A4372-9856-4541-8725-C0B4889E10C4}"/>
    <cellStyle name="Komma 2 2 2 2 2" xfId="140" xr:uid="{07367F18-5089-4C37-84D5-7BE34585405E}"/>
    <cellStyle name="Komma 2 2 2 2 2 2" xfId="172" xr:uid="{E5FCCA24-0A20-40B1-B105-65DF2E18ADB7}"/>
    <cellStyle name="Komma 2 2 2 2 2 2 2" xfId="219" xr:uid="{3BA29980-9647-41E4-AC87-F9AEE1C6EF06}"/>
    <cellStyle name="Komma 2 2 2 2 2 3" xfId="208" xr:uid="{312D165B-3D23-4759-98E4-2BF2687B993C}"/>
    <cellStyle name="Komma 2 2 2 2 3" xfId="166" xr:uid="{256DAFA8-9816-47CB-BE10-9C7B8736421A}"/>
    <cellStyle name="Komma 2 2 2 2 3 2" xfId="213" xr:uid="{BF2C3699-BA0A-4EE9-9FD3-8C875F51C57A}"/>
    <cellStyle name="Komma 2 2 2 2 4" xfId="202" xr:uid="{53A4EAE8-830C-4C4C-9FCD-A4846967A926}"/>
    <cellStyle name="Komma 2 2 2 3" xfId="138" xr:uid="{F0696719-2575-4F89-83A5-89AE094059D9}"/>
    <cellStyle name="Komma 2 2 2 3 2" xfId="170" xr:uid="{AF7C305C-BA1F-43E9-9073-A24D6472B2E0}"/>
    <cellStyle name="Komma 2 2 2 3 2 2" xfId="217" xr:uid="{A7AB46F8-5C76-4224-B9CC-732574195968}"/>
    <cellStyle name="Komma 2 2 2 3 3" xfId="206" xr:uid="{1071A7F6-4C8A-4986-93D9-7CB33F210C00}"/>
    <cellStyle name="Komma 2 2 2 4" xfId="164" xr:uid="{F2C7E12A-56E7-486D-A01A-FAD8243A85EE}"/>
    <cellStyle name="Komma 2 2 2 4 2" xfId="211" xr:uid="{D6B6B435-369C-4D10-9EC1-C950C202E79E}"/>
    <cellStyle name="Komma 2 2 2 5" xfId="200" xr:uid="{4E5EC380-C878-4240-9DD6-C814D89EAA7A}"/>
    <cellStyle name="Komma 2 2 3" xfId="151" xr:uid="{5011980F-61B4-4635-AC48-68339806DDDD}"/>
    <cellStyle name="Komma 2 2 3 2" xfId="176" xr:uid="{B0C83085-695D-4447-90E4-CB5C60A6FA93}"/>
    <cellStyle name="Komma 2 2 4" xfId="42" xr:uid="{BCD1D4F0-E709-4230-A1D8-3936ACCD15B4}"/>
    <cellStyle name="Komma 2 3" xfId="43" xr:uid="{3F23E854-F1A9-46C2-AEFC-8987651C6408}"/>
    <cellStyle name="Komma 2 3 2" xfId="139" xr:uid="{8A54716A-0B84-4A80-89F4-B41DFB13A1FB}"/>
    <cellStyle name="Komma 2 3 2 2" xfId="171" xr:uid="{5D10E1A8-DB3C-4F39-B113-A0867B20D447}"/>
    <cellStyle name="Komma 2 3 2 2 2" xfId="218" xr:uid="{73A9A43A-9255-432A-A488-652DFF5B0723}"/>
    <cellStyle name="Komma 2 3 2 3" xfId="207" xr:uid="{8A83CF66-72B8-4673-9231-EF4078DEB816}"/>
    <cellStyle name="Komma 2 3 3" xfId="152" xr:uid="{6AB66DA5-F9A5-4430-A860-22208C8785CB}"/>
    <cellStyle name="Komma 2 3 4" xfId="165" xr:uid="{4AA7364A-8402-466B-A9EF-A58FE9638191}"/>
    <cellStyle name="Komma 2 3 4 2" xfId="212" xr:uid="{33213653-E8DB-466C-9AE7-535DC1A42558}"/>
    <cellStyle name="Komma 2 3 5" xfId="201" xr:uid="{8ACF065C-99E1-4BC0-88A0-D466411B71C5}"/>
    <cellStyle name="Komma 2 4" xfId="136" xr:uid="{2D4FB7C5-C029-4D39-90AF-54D8B31E838E}"/>
    <cellStyle name="Komma 2 4 2" xfId="169" xr:uid="{B1791884-174B-4B02-BC7E-F3B687FB5082}"/>
    <cellStyle name="Komma 2 4 2 2" xfId="216" xr:uid="{4D289944-0CDE-49B4-84F4-EF957D2AE408}"/>
    <cellStyle name="Komma 2 4 3" xfId="205" xr:uid="{DBF711F6-A9CA-4230-A37C-7704A9D52C39}"/>
    <cellStyle name="Komma 2 5" xfId="142" xr:uid="{D396A26E-646A-45C8-B484-57859CFA6785}"/>
    <cellStyle name="Komma 2 6" xfId="163" xr:uid="{B1821ACD-34D3-4353-A83C-AFAAD5729BAE}"/>
    <cellStyle name="Komma 2 6 2" xfId="210" xr:uid="{72256F4F-7FC5-4F05-8ED0-CC2D9D8D791E}"/>
    <cellStyle name="Komma 2 7" xfId="199" xr:uid="{3D348113-4916-4B56-B173-B8B44F904A5E}"/>
    <cellStyle name="Komma 3" xfId="46" xr:uid="{374C22A1-4A78-4E73-905E-556136D79EFC}"/>
    <cellStyle name="Komma 3 2" xfId="150" xr:uid="{69B6F918-5084-4188-87EC-07CED0B15015}"/>
    <cellStyle name="Komma 3 2 2" xfId="177" xr:uid="{21602A85-730A-4D50-950F-C65C478CBFD0}"/>
    <cellStyle name="Komma 4" xfId="134" xr:uid="{BCF3D22E-C08E-42C6-8F76-4005F56434C8}"/>
    <cellStyle name="Komma 4 2" xfId="154" xr:uid="{3805F783-E8C2-45F9-9EAC-DD3076029B4A}"/>
    <cellStyle name="Komma 4 2 2" xfId="198" xr:uid="{2F766FA0-185F-4089-A3D4-34931465B7B7}"/>
    <cellStyle name="Komma 4 2 3" xfId="209" xr:uid="{1D14A8AD-477D-4994-BDFC-A63E6D864D73}"/>
    <cellStyle name="Komma 5" xfId="156" xr:uid="{0A4A8E27-0020-4462-80A2-0B3BA9C9213B}"/>
    <cellStyle name="Link 2" xfId="71" xr:uid="{299DC7E1-DD4F-4B30-9627-2D88672C4164}"/>
    <cellStyle name="Link 2 2" xfId="157" xr:uid="{382FD6C5-A96A-4A1E-B6A3-8934FB11131B}"/>
    <cellStyle name="Neutral 2" xfId="143" xr:uid="{53822DF5-89AC-4F52-AF09-FABB57846C0F}"/>
    <cellStyle name="Normal 10" xfId="74" xr:uid="{119CAE1B-78D5-4556-A694-D56502BB5161}"/>
    <cellStyle name="Normal 11" xfId="75" xr:uid="{D6CB0161-081A-425E-9245-63D40A3BF7B0}"/>
    <cellStyle name="Normal 12" xfId="76" xr:uid="{22B8F61D-14D8-4651-863D-7CF77B2B22FB}"/>
    <cellStyle name="Normal 13" xfId="77" xr:uid="{68DB7812-11E2-4B76-8D22-BF59ACEFB4DB}"/>
    <cellStyle name="Normal 14" xfId="78" xr:uid="{DFC77FBE-A524-427B-A249-F1F3E7E89225}"/>
    <cellStyle name="Normal 15" xfId="79" xr:uid="{673E1E76-FF58-4383-A142-1C4F2203EDD7}"/>
    <cellStyle name="Normal 16" xfId="80" xr:uid="{5633239B-7D3A-4F23-954C-3C973B17C68D}"/>
    <cellStyle name="Normal 17" xfId="81" xr:uid="{073B1F69-425C-40BD-8D47-0DC6DA3110D5}"/>
    <cellStyle name="Normal 17 2" xfId="82" xr:uid="{52C48550-8947-4DA9-9B58-DFFA74339E31}"/>
    <cellStyle name="Normal 2" xfId="4" xr:uid="{098744FE-9844-4518-A91E-00A8F4258A86}"/>
    <cellStyle name="Normal 2 2" xfId="5" xr:uid="{FCD300CD-8039-44DF-B12D-F1531F7C3F26}"/>
    <cellStyle name="Normal 2 2 2" xfId="84" xr:uid="{2564EA86-050F-4ED1-B637-22A222AA58B4}"/>
    <cellStyle name="Normal 2 3" xfId="85" xr:uid="{E8D62709-C031-4A03-AAB4-CCBCFFEF8357}"/>
    <cellStyle name="Normal 2 4" xfId="86" xr:uid="{482DF4EA-23DE-44CB-AB02-78F8F1C17B37}"/>
    <cellStyle name="Normal 2 5" xfId="83" xr:uid="{26363178-F882-4968-96DF-A23FE3C80B67}"/>
    <cellStyle name="Normal 2 6" xfId="129" xr:uid="{AA4B25E9-4FC8-44E7-9D4C-EB34550C2D33}"/>
    <cellStyle name="Normal 3" xfId="3" xr:uid="{FA51F745-E432-4830-B289-30C69457E580}"/>
    <cellStyle name="Normal 3 2" xfId="88" xr:uid="{7A8D92C3-0CC6-416A-A899-C7B4B18DF8BC}"/>
    <cellStyle name="Normal 3 2 2" xfId="89" xr:uid="{E134F057-E0DC-4C73-9769-AF9C039A1E87}"/>
    <cellStyle name="Normal 3 3" xfId="90" xr:uid="{E9BB9858-2050-44D3-A958-DA46F90039BA}"/>
    <cellStyle name="Normal 3 4" xfId="91" xr:uid="{121BE0C7-7084-49D1-ABF2-C3AD06C23595}"/>
    <cellStyle name="Normal 3 5" xfId="87" xr:uid="{FCE01C2F-CCB5-43FC-A4F5-85E5C60F21A7}"/>
    <cellStyle name="Normal 4" xfId="92" xr:uid="{26302295-9548-42F6-B7DC-95B64369C14D}"/>
    <cellStyle name="Normal 4 2" xfId="93" xr:uid="{B1AD8B2F-D3FA-4D2E-B775-B3D9D46F4B60}"/>
    <cellStyle name="Normal 4 2 2" xfId="94" xr:uid="{44261DF1-F81D-4A3D-A894-E527AE2A2D4F}"/>
    <cellStyle name="Normal 4 3" xfId="95" xr:uid="{C5CEBCD5-481C-4053-8707-CC6AB6612C7D}"/>
    <cellStyle name="Normal 4 3 2" xfId="127" xr:uid="{376FE887-3E15-41CE-ACA7-16B78E3E3BE1}"/>
    <cellStyle name="Normal 4 4" xfId="96" xr:uid="{F0387983-1093-4B6E-B150-1DA89B358FCB}"/>
    <cellStyle name="Normal 4 5" xfId="128" xr:uid="{F1CE2282-0C33-46DA-90B3-7552785A34B0}"/>
    <cellStyle name="Normal 5" xfId="97" xr:uid="{D9DEA4C9-C93B-49D8-81BB-196A2F6E854B}"/>
    <cellStyle name="Normal 5 2" xfId="98" xr:uid="{ADE03E28-7DD0-4FCD-A1F9-D0396C1A6221}"/>
    <cellStyle name="Normal 6" xfId="99" xr:uid="{EFED4165-E5C1-4031-BCE7-65B5F16DCD3B}"/>
    <cellStyle name="Normal 6 2" xfId="100" xr:uid="{17D65241-E185-404A-A43C-C334254E5249}"/>
    <cellStyle name="Normal 7" xfId="101" xr:uid="{F6FBE71B-7EDF-40F0-A160-44D4339FC8CC}"/>
    <cellStyle name="Normal 7 2" xfId="102" xr:uid="{D3A22C14-E0C9-43D5-97AC-2A7065623A56}"/>
    <cellStyle name="Normal 8" xfId="103" xr:uid="{C02A2DFE-45A3-48F1-A24B-D9086506C41C}"/>
    <cellStyle name="Normal 8 2" xfId="104" xr:uid="{7F33EC9D-DA31-4A31-B753-E4CDFFC82FBF}"/>
    <cellStyle name="Normal 8 3" xfId="105" xr:uid="{129A19E3-AC3D-4831-96C6-8118522BEBB9}"/>
    <cellStyle name="Normal 8 4" xfId="106" xr:uid="{02F73A37-9651-443A-B261-715E4D281431}"/>
    <cellStyle name="Normal 8 5" xfId="126" xr:uid="{3A4176FA-B51D-474A-8135-A31D906D2183}"/>
    <cellStyle name="Normal 9" xfId="107" xr:uid="{7B34B00C-C729-4110-AF63-CFF0D35C0FA4}"/>
    <cellStyle name="Normal 9 2" xfId="108" xr:uid="{C147F2C3-F00F-4B41-8C97-159F2450F8EE}"/>
    <cellStyle name="Normal 9 3" xfId="109" xr:uid="{80DE39F9-A519-4CCB-B80A-85EE3F8D138C}"/>
    <cellStyle name="Notiz" xfId="21" builtinId="10" customBuiltin="1"/>
    <cellStyle name="Notiz 2" xfId="162" xr:uid="{890D3FE0-93C1-49E9-976E-7BED01961448}"/>
    <cellStyle name="Percent 2" xfId="111" xr:uid="{B63544DD-3541-4E50-9DAD-E532D5FC4D18}"/>
    <cellStyle name="Percent 3" xfId="112" xr:uid="{65277ABD-9672-45DA-BC54-01C0B9C01D39}"/>
    <cellStyle name="Percent 3 2" xfId="113" xr:uid="{06253166-719B-4284-A28E-900A1E006088}"/>
    <cellStyle name="Percent 4" xfId="114" xr:uid="{11B64FE7-483C-49E0-A5D9-8DD82412DAA7}"/>
    <cellStyle name="Percent 4 2" xfId="115" xr:uid="{055268DC-F0ED-480E-94F0-93EB680B4F38}"/>
    <cellStyle name="Percent 5" xfId="116" xr:uid="{A5407EF8-83C2-40D4-9F59-92EB5C5C9A8A}"/>
    <cellStyle name="Percent 5 2" xfId="117" xr:uid="{87E9D57E-F758-4B92-B684-E6461C2E2B1B}"/>
    <cellStyle name="Percent 6" xfId="118" xr:uid="{6FD12483-AD04-488F-8CAD-E89A9D43EE40}"/>
    <cellStyle name="Percent 6 2" xfId="119" xr:uid="{C08F937B-34D5-4F3D-BEA2-324FE703CEF3}"/>
    <cellStyle name="Percent 6 3" xfId="120" xr:uid="{0FB7F643-DE40-4C5E-BA18-3CF5112812D1}"/>
    <cellStyle name="Percent 7" xfId="121" xr:uid="{12ABF678-7BC8-42D5-A2FA-8329239568A6}"/>
    <cellStyle name="Prozent" xfId="1" builtinId="5"/>
    <cellStyle name="Prozent 2" xfId="110" xr:uid="{C27922B8-44CE-4991-87F9-3F006C19CCB9}"/>
    <cellStyle name="Prozent 3" xfId="125" xr:uid="{27F26A65-2C68-48A2-B81B-AD52CF5A15B1}"/>
    <cellStyle name="Schlecht" xfId="14" builtinId="27" customBuiltin="1"/>
    <cellStyle name="Standard" xfId="0" builtinId="0"/>
    <cellStyle name="Standard 2" xfId="45" xr:uid="{C498EA8C-8F6E-49AE-8622-D1A6BE92741A}"/>
    <cellStyle name="Standard 2 2" xfId="161" xr:uid="{A60C47CF-EC4D-46F6-8703-814FD286AE98}"/>
    <cellStyle name="Standard 2 2 2" xfId="174" xr:uid="{A153967D-2539-47D2-9053-EBCF8A4AE11C}"/>
    <cellStyle name="Standard 2 3" xfId="158" xr:uid="{468D0A3D-1D2E-4974-8842-2E1F48F531FF}"/>
    <cellStyle name="Standard 2 4" xfId="141" xr:uid="{D628C09D-EE03-466B-A902-29A2D0D7B618}"/>
    <cellStyle name="Standard 3" xfId="135" xr:uid="{C524EC7F-50CC-4BE7-B93E-2505FD50ED3B}"/>
    <cellStyle name="Standard 3 2" xfId="160" xr:uid="{96A91A37-F4DF-4B67-9F8D-965071D2FA7D}"/>
    <cellStyle name="Standard 3 2 2" xfId="175" xr:uid="{563F3478-FBDC-4933-96CB-FCB5CA0C2F4E}"/>
    <cellStyle name="Standard 4" xfId="137" xr:uid="{6A6A5E43-4C58-4ED3-9BEB-BF52E568D16C}"/>
    <cellStyle name="Standard 4 2" xfId="155" xr:uid="{DFD2EC31-8B8D-4501-82AB-3DA207955ADD}"/>
    <cellStyle name="Standard 5" xfId="173" xr:uid="{AE2CB507-32AF-4459-9D40-9C5CEFDF443D}"/>
    <cellStyle name="Überschrift" xfId="8" builtinId="15" customBuiltin="1"/>
    <cellStyle name="Überschrift 1" xfId="9" builtinId="16" customBuiltin="1"/>
    <cellStyle name="Überschrift 1 2" xfId="133" xr:uid="{1CA88420-63AF-4A90-AF07-F0B15B7A035C}"/>
    <cellStyle name="Überschrift 2" xfId="10" builtinId="17" customBuiltin="1"/>
    <cellStyle name="Überschrift 2 2" xfId="132" xr:uid="{79A59D2F-FCED-4ED4-A561-70C5BB321A0B}"/>
    <cellStyle name="Überschrift 3" xfId="11" builtinId="18" customBuiltin="1"/>
    <cellStyle name="Überschrift 3 2" xfId="131" xr:uid="{92B8EB58-577F-4A5F-B7F6-435667E7119E}"/>
    <cellStyle name="Überschrift 4" xfId="12" builtinId="19" customBuiltin="1"/>
    <cellStyle name="Überschrift 5" xfId="153" xr:uid="{65BA621B-3869-4C4F-9A98-BA545908C5E3}"/>
    <cellStyle name="Verknüpfte Zelle" xfId="18" builtinId="24" customBuiltin="1"/>
    <cellStyle name="Währung 2" xfId="159" xr:uid="{BCC65902-7F59-4410-A894-77E02E02F364}"/>
    <cellStyle name="Warnender Text" xfId="20" builtinId="11" customBuiltin="1"/>
    <cellStyle name="Zelle überprüfen" xfId="19" builtinId="23" customBuiltin="1"/>
  </cellStyles>
  <dxfs count="2"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</dxfs>
  <tableStyles count="1" defaultTableStyle="TableStyleMedium2" defaultPivotStyle="PivotStyleLight16">
    <tableStyle name="Table Style 1" pivot="0" count="2" xr9:uid="{A8198BE0-7EDE-4D78-BA25-EBD3A883C9B0}">
      <tableStyleElement type="firstColumnStripe" dxfId="1"/>
      <tableStyleElement type="second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1CE75-70D6-4C19-A2E6-F011C88AB99E}">
  <dimension ref="A4:W25"/>
  <sheetViews>
    <sheetView workbookViewId="0">
      <selection activeCell="H27" sqref="H27"/>
    </sheetView>
  </sheetViews>
  <sheetFormatPr baseColWidth="10" defaultColWidth="9.140625" defaultRowHeight="15" x14ac:dyDescent="0.25"/>
  <cols>
    <col min="12" max="12" width="7.85546875" bestFit="1" customWidth="1"/>
  </cols>
  <sheetData>
    <row r="4" spans="2:23" x14ac:dyDescent="0.25">
      <c r="B4" t="s">
        <v>0</v>
      </c>
      <c r="D4" t="s">
        <v>1</v>
      </c>
      <c r="E4" t="s">
        <v>2</v>
      </c>
      <c r="F4" t="s">
        <v>3</v>
      </c>
      <c r="G4" t="s">
        <v>4</v>
      </c>
    </row>
    <row r="5" spans="2:23" x14ac:dyDescent="0.25">
      <c r="C5">
        <v>2015</v>
      </c>
      <c r="D5" s="17">
        <v>7.48245</v>
      </c>
      <c r="E5" s="31">
        <v>1.6</v>
      </c>
      <c r="F5" s="37">
        <v>8.53574564</v>
      </c>
      <c r="G5" s="37">
        <v>10.7184539</v>
      </c>
      <c r="I5" s="37">
        <v>10.7184539</v>
      </c>
      <c r="J5" s="37">
        <v>8.8617450000000009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3"/>
      <c r="W5" s="13"/>
    </row>
    <row r="6" spans="2:23" x14ac:dyDescent="0.25">
      <c r="C6">
        <v>2016</v>
      </c>
      <c r="D6" s="17">
        <v>7.3157870000000003</v>
      </c>
      <c r="E6" s="31">
        <v>1.5920000000000001</v>
      </c>
      <c r="F6" s="37">
        <v>8.0686155599999996</v>
      </c>
      <c r="G6" s="37">
        <v>9.3305425999999994</v>
      </c>
      <c r="I6" s="37">
        <v>9.3305425999999994</v>
      </c>
      <c r="J6" s="37">
        <v>7.95784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3"/>
      <c r="W6" s="13"/>
    </row>
    <row r="7" spans="2:23" x14ac:dyDescent="0.25">
      <c r="C7">
        <v>2017</v>
      </c>
      <c r="D7" s="17">
        <v>6.7419599999999997</v>
      </c>
      <c r="E7" s="31">
        <v>1.552</v>
      </c>
      <c r="F7" s="37">
        <v>7.5617628999999997</v>
      </c>
      <c r="G7" s="37">
        <v>10.6019231</v>
      </c>
      <c r="I7" s="37">
        <v>10.6019231</v>
      </c>
      <c r="J7" s="37">
        <v>9.6250350000000005</v>
      </c>
      <c r="L7" s="7"/>
      <c r="M7" s="11"/>
      <c r="N7" s="11"/>
      <c r="O7" s="13"/>
      <c r="P7" s="13"/>
      <c r="Q7" s="13"/>
      <c r="R7" s="13"/>
      <c r="S7" s="13"/>
      <c r="T7" s="13"/>
      <c r="U7" s="13"/>
      <c r="V7" s="13"/>
      <c r="W7" s="13"/>
    </row>
    <row r="8" spans="2:23" x14ac:dyDescent="0.25">
      <c r="C8">
        <v>2018</v>
      </c>
      <c r="D8" s="17">
        <v>6.2107089999999996</v>
      </c>
      <c r="E8" s="31">
        <v>1.5696000000000001</v>
      </c>
      <c r="F8" s="37">
        <v>7.0568548900000003</v>
      </c>
      <c r="G8" s="37">
        <v>10.446538</v>
      </c>
      <c r="I8" s="37">
        <v>10.446538</v>
      </c>
      <c r="J8" s="37">
        <v>9.1677859999999995</v>
      </c>
      <c r="L8" s="11"/>
      <c r="M8" s="11"/>
      <c r="N8" s="11"/>
      <c r="O8" s="13"/>
      <c r="P8" s="13"/>
      <c r="Q8" s="13"/>
      <c r="R8" s="13"/>
      <c r="S8" s="13"/>
      <c r="T8" s="13"/>
      <c r="U8" s="13"/>
      <c r="V8" s="13"/>
      <c r="W8" s="13"/>
    </row>
    <row r="9" spans="2:23" x14ac:dyDescent="0.25">
      <c r="C9">
        <v>2019</v>
      </c>
      <c r="D9" s="17">
        <v>6.2263010000000003</v>
      </c>
      <c r="E9" s="31">
        <v>1.6544000000000001</v>
      </c>
      <c r="F9" s="37">
        <v>7.16075062</v>
      </c>
      <c r="G9" s="37">
        <v>8.8163437899999995</v>
      </c>
      <c r="I9" s="37">
        <v>8.8163437899999995</v>
      </c>
      <c r="J9" s="37">
        <v>7.2803950000000004</v>
      </c>
      <c r="L9" s="11"/>
      <c r="M9" s="11"/>
      <c r="N9" s="11"/>
      <c r="O9" s="11"/>
      <c r="P9" s="8"/>
      <c r="Q9" s="8"/>
      <c r="R9" s="8"/>
      <c r="S9" s="8"/>
      <c r="T9" s="8"/>
    </row>
    <row r="10" spans="2:23" x14ac:dyDescent="0.25">
      <c r="C10">
        <v>2020</v>
      </c>
      <c r="D10" s="17">
        <v>5.6510999999999996</v>
      </c>
      <c r="E10" s="31">
        <v>1.6704000000000001</v>
      </c>
      <c r="F10" s="37">
        <v>6.6015389200000003</v>
      </c>
      <c r="G10" s="37">
        <v>7.05801853</v>
      </c>
      <c r="I10" s="37">
        <v>7.05801853</v>
      </c>
      <c r="J10" s="37">
        <v>6.4057500000000003</v>
      </c>
      <c r="L10" s="11"/>
      <c r="M10" s="11"/>
      <c r="N10" s="11"/>
      <c r="O10" s="11"/>
    </row>
    <row r="11" spans="2:23" x14ac:dyDescent="0.25">
      <c r="C11">
        <v>2021</v>
      </c>
      <c r="D11" s="17">
        <v>5.0228640000000002</v>
      </c>
      <c r="E11" s="31">
        <v>1.7103999999999999</v>
      </c>
      <c r="F11" s="37">
        <v>6.29442244</v>
      </c>
      <c r="G11" s="37">
        <v>14.4943063</v>
      </c>
      <c r="I11" s="37">
        <v>14.4943063</v>
      </c>
      <c r="J11" s="37">
        <v>26.458824</v>
      </c>
      <c r="L11" s="11"/>
      <c r="M11" s="11"/>
      <c r="N11" s="11"/>
      <c r="O11" s="11"/>
    </row>
    <row r="12" spans="2:23" x14ac:dyDescent="0.25">
      <c r="C12">
        <v>2022</v>
      </c>
      <c r="D12" s="17">
        <v>5.1063330000000002</v>
      </c>
      <c r="E12" s="31">
        <v>1.8016000000000001</v>
      </c>
      <c r="F12" s="37">
        <v>7.9076747100000002</v>
      </c>
      <c r="G12" s="37">
        <v>20.073286899999999</v>
      </c>
      <c r="I12" s="37">
        <v>20.073286899999999</v>
      </c>
      <c r="J12" s="37">
        <v>21.518867</v>
      </c>
      <c r="L12" s="11"/>
      <c r="M12" s="11"/>
      <c r="N12" s="11"/>
      <c r="O12" s="11"/>
    </row>
    <row r="13" spans="2:23" x14ac:dyDescent="0.25">
      <c r="C13">
        <v>2023</v>
      </c>
      <c r="D13" s="17">
        <v>4.7392697139999997</v>
      </c>
      <c r="E13" s="31">
        <v>2.2416</v>
      </c>
      <c r="F13" s="37">
        <v>7.9151695889999996</v>
      </c>
      <c r="G13" s="37">
        <v>10.88664522</v>
      </c>
      <c r="I13" s="37">
        <v>10.88664522</v>
      </c>
      <c r="J13" s="37">
        <v>8.1382399999999997</v>
      </c>
      <c r="L13" s="11"/>
      <c r="M13" s="11"/>
      <c r="N13" s="11"/>
      <c r="O13" s="11"/>
    </row>
    <row r="14" spans="2:23" x14ac:dyDescent="0.25">
      <c r="C14">
        <v>2024</v>
      </c>
      <c r="D14" s="17">
        <v>4.25529007</v>
      </c>
      <c r="E14" s="31">
        <v>2.6816</v>
      </c>
      <c r="F14" s="37">
        <v>5.9709779999999997</v>
      </c>
      <c r="G14" s="37">
        <v>17.155007999999999</v>
      </c>
      <c r="I14" s="37">
        <v>17.155007999999999</v>
      </c>
      <c r="J14" s="37">
        <v>6.876792</v>
      </c>
      <c r="L14" s="11"/>
      <c r="M14" s="11"/>
      <c r="N14" s="11"/>
      <c r="O14" s="11"/>
    </row>
    <row r="15" spans="2:23" x14ac:dyDescent="0.25">
      <c r="L15" s="11"/>
      <c r="M15" s="11"/>
      <c r="N15" s="11"/>
      <c r="O15" s="11"/>
    </row>
    <row r="17" spans="1:15" x14ac:dyDescent="0.25">
      <c r="L17" s="11"/>
      <c r="M17" s="11"/>
      <c r="N17" s="11"/>
      <c r="O17" s="11"/>
    </row>
    <row r="18" spans="1:15" x14ac:dyDescent="0.25">
      <c r="L18" s="11"/>
      <c r="M18" s="11"/>
      <c r="N18" s="11"/>
      <c r="O18" s="11"/>
    </row>
    <row r="19" spans="1:15" x14ac:dyDescent="0.25">
      <c r="L19" s="11"/>
      <c r="M19" s="11"/>
      <c r="N19" s="11"/>
      <c r="O19" s="11"/>
    </row>
    <row r="20" spans="1:15" x14ac:dyDescent="0.25">
      <c r="L20" s="11"/>
      <c r="M20" s="11"/>
      <c r="N20" s="11"/>
      <c r="O20" s="11"/>
    </row>
    <row r="21" spans="1:15" x14ac:dyDescent="0.25">
      <c r="A21" t="s">
        <v>30</v>
      </c>
      <c r="L21" s="11"/>
      <c r="M21" s="11"/>
      <c r="N21" s="11"/>
      <c r="O21" s="11"/>
    </row>
    <row r="22" spans="1:15" x14ac:dyDescent="0.25">
      <c r="B22" t="s">
        <v>2</v>
      </c>
      <c r="C22">
        <v>0.38300000000000001</v>
      </c>
      <c r="L22" s="11"/>
      <c r="M22" s="11"/>
      <c r="N22" s="11"/>
      <c r="O22" s="11"/>
    </row>
    <row r="23" spans="1:15" x14ac:dyDescent="0.25">
      <c r="B23" t="s">
        <v>3</v>
      </c>
      <c r="C23">
        <v>0.33500000000000002</v>
      </c>
      <c r="L23" s="11"/>
      <c r="M23" s="11"/>
      <c r="N23" s="11"/>
      <c r="O23" s="11"/>
    </row>
    <row r="24" spans="1:15" x14ac:dyDescent="0.25">
      <c r="B24" t="s">
        <v>4</v>
      </c>
      <c r="C24">
        <v>0.20100000000000001</v>
      </c>
      <c r="L24" s="11"/>
      <c r="M24" s="11"/>
      <c r="N24" s="11"/>
      <c r="O24" s="11"/>
    </row>
    <row r="25" spans="1:15" x14ac:dyDescent="0.25">
      <c r="B25" t="s">
        <v>31</v>
      </c>
      <c r="C25">
        <v>0.26600000000000001</v>
      </c>
      <c r="L25" s="11"/>
      <c r="M25" s="11"/>
      <c r="N25" s="11"/>
      <c r="O25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AEC9-DD1D-41D4-AC07-D33C8D8DB1ED}">
  <dimension ref="A4:I18"/>
  <sheetViews>
    <sheetView tabSelected="1" workbookViewId="0">
      <selection activeCell="O9" sqref="O9"/>
    </sheetView>
  </sheetViews>
  <sheetFormatPr baseColWidth="10" defaultColWidth="9.140625" defaultRowHeight="15" x14ac:dyDescent="0.25"/>
  <sheetData>
    <row r="4" spans="1:9" x14ac:dyDescent="0.25">
      <c r="A4" t="s">
        <v>0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</row>
    <row r="5" spans="1:9" x14ac:dyDescent="0.25">
      <c r="B5">
        <v>2015</v>
      </c>
      <c r="C5">
        <v>0</v>
      </c>
      <c r="D5">
        <v>0</v>
      </c>
      <c r="E5">
        <v>0</v>
      </c>
      <c r="F5" s="38">
        <v>21.240000000000002</v>
      </c>
      <c r="G5">
        <v>0</v>
      </c>
      <c r="H5">
        <v>0</v>
      </c>
      <c r="I5">
        <v>0</v>
      </c>
    </row>
    <row r="6" spans="1:9" x14ac:dyDescent="0.25">
      <c r="B6">
        <v>2016</v>
      </c>
      <c r="C6">
        <v>0</v>
      </c>
      <c r="D6">
        <v>0</v>
      </c>
      <c r="E6">
        <v>0</v>
      </c>
      <c r="F6" s="38">
        <v>21.240000000000002</v>
      </c>
      <c r="G6">
        <v>0</v>
      </c>
      <c r="H6">
        <v>0</v>
      </c>
      <c r="I6">
        <v>0</v>
      </c>
    </row>
    <row r="7" spans="1:9" x14ac:dyDescent="0.25">
      <c r="B7">
        <v>2017</v>
      </c>
      <c r="C7">
        <v>0</v>
      </c>
      <c r="D7">
        <v>0</v>
      </c>
      <c r="E7">
        <v>0</v>
      </c>
      <c r="F7" s="38">
        <v>21.240000000000002</v>
      </c>
      <c r="G7">
        <v>0</v>
      </c>
      <c r="H7">
        <v>0</v>
      </c>
      <c r="I7">
        <v>0</v>
      </c>
    </row>
    <row r="8" spans="1:9" x14ac:dyDescent="0.25">
      <c r="B8">
        <v>2018</v>
      </c>
      <c r="C8">
        <v>0</v>
      </c>
      <c r="D8">
        <v>0</v>
      </c>
      <c r="E8">
        <v>0</v>
      </c>
      <c r="F8" s="38">
        <v>21.240000000000002</v>
      </c>
      <c r="G8">
        <v>0</v>
      </c>
      <c r="H8">
        <v>0</v>
      </c>
      <c r="I8">
        <v>0</v>
      </c>
    </row>
    <row r="9" spans="1:9" x14ac:dyDescent="0.25">
      <c r="B9">
        <v>2019</v>
      </c>
      <c r="C9">
        <v>0</v>
      </c>
      <c r="D9">
        <v>0</v>
      </c>
      <c r="E9">
        <v>0</v>
      </c>
      <c r="F9" s="38">
        <v>21.240000000000002</v>
      </c>
      <c r="G9">
        <v>0</v>
      </c>
      <c r="H9">
        <v>0</v>
      </c>
      <c r="I9">
        <v>0</v>
      </c>
    </row>
    <row r="10" spans="1:9" x14ac:dyDescent="0.25">
      <c r="B10">
        <v>2020</v>
      </c>
      <c r="C10">
        <v>0</v>
      </c>
      <c r="D10">
        <v>0</v>
      </c>
      <c r="E10">
        <v>0</v>
      </c>
      <c r="F10" s="38">
        <v>21.240000000000002</v>
      </c>
      <c r="G10">
        <v>0</v>
      </c>
      <c r="H10">
        <v>0</v>
      </c>
      <c r="I10">
        <v>0</v>
      </c>
    </row>
    <row r="11" spans="1:9" x14ac:dyDescent="0.25">
      <c r="B11">
        <v>2021</v>
      </c>
      <c r="C11">
        <v>0</v>
      </c>
      <c r="D11">
        <v>0</v>
      </c>
      <c r="E11">
        <v>0</v>
      </c>
      <c r="F11" s="38">
        <v>21.240000000000002</v>
      </c>
      <c r="G11">
        <v>0</v>
      </c>
      <c r="H11">
        <v>0</v>
      </c>
      <c r="I11">
        <v>0</v>
      </c>
    </row>
    <row r="12" spans="1:9" x14ac:dyDescent="0.25">
      <c r="B12">
        <v>2022</v>
      </c>
      <c r="C12">
        <v>0</v>
      </c>
      <c r="D12">
        <v>0</v>
      </c>
      <c r="E12">
        <v>0</v>
      </c>
      <c r="F12" s="38">
        <v>21.240000000000002</v>
      </c>
      <c r="G12">
        <v>0</v>
      </c>
      <c r="H12">
        <v>0</v>
      </c>
      <c r="I12">
        <v>0</v>
      </c>
    </row>
    <row r="13" spans="1:9" x14ac:dyDescent="0.25">
      <c r="B13">
        <v>2023</v>
      </c>
      <c r="C13">
        <v>0</v>
      </c>
      <c r="D13">
        <v>0</v>
      </c>
      <c r="E13">
        <v>0</v>
      </c>
      <c r="F13" s="38">
        <v>21.240000000000002</v>
      </c>
      <c r="G13">
        <v>0</v>
      </c>
      <c r="H13">
        <v>0</v>
      </c>
      <c r="I13">
        <v>0</v>
      </c>
    </row>
    <row r="14" spans="1:9" x14ac:dyDescent="0.25">
      <c r="B14">
        <v>2024</v>
      </c>
      <c r="C14" s="13">
        <v>0</v>
      </c>
      <c r="D14" s="13">
        <v>0</v>
      </c>
      <c r="E14" s="13">
        <v>0</v>
      </c>
      <c r="F14" s="38">
        <v>21.240000000000002</v>
      </c>
      <c r="G14" s="13">
        <v>0</v>
      </c>
      <c r="H14" s="13">
        <v>0</v>
      </c>
      <c r="I14" s="13">
        <v>0</v>
      </c>
    </row>
    <row r="16" spans="1:9" x14ac:dyDescent="0.25">
      <c r="A16" t="s">
        <v>30</v>
      </c>
    </row>
    <row r="17" spans="2:3" x14ac:dyDescent="0.25">
      <c r="B17" t="s">
        <v>8</v>
      </c>
      <c r="C17">
        <v>0</v>
      </c>
    </row>
    <row r="18" spans="2:3" x14ac:dyDescent="0.25">
      <c r="B18" t="s">
        <v>11</v>
      </c>
      <c r="C18">
        <v>0.23899999999999999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8A941-8ECB-48AC-B1FE-4E561D25CAD6}">
  <dimension ref="A4:Q27"/>
  <sheetViews>
    <sheetView workbookViewId="0">
      <selection activeCell="F31" sqref="F31"/>
    </sheetView>
  </sheetViews>
  <sheetFormatPr baseColWidth="10" defaultColWidth="9.140625" defaultRowHeight="15" x14ac:dyDescent="0.25"/>
  <cols>
    <col min="3" max="3" width="9.7109375" bestFit="1" customWidth="1"/>
    <col min="5" max="5" width="12.28515625" bestFit="1" customWidth="1"/>
    <col min="6" max="6" width="10.42578125" bestFit="1" customWidth="1"/>
    <col min="7" max="7" width="23.85546875" bestFit="1" customWidth="1"/>
    <col min="8" max="8" width="14.28515625" bestFit="1" customWidth="1"/>
    <col min="9" max="9" width="23.85546875" bestFit="1" customWidth="1"/>
    <col min="10" max="10" width="14.28515625" bestFit="1" customWidth="1"/>
  </cols>
  <sheetData>
    <row r="4" spans="1:17" x14ac:dyDescent="0.25">
      <c r="C4" t="s">
        <v>23</v>
      </c>
      <c r="D4" t="s">
        <v>24</v>
      </c>
      <c r="E4" t="s">
        <v>25</v>
      </c>
      <c r="F4" t="s">
        <v>39</v>
      </c>
      <c r="G4" t="s">
        <v>27</v>
      </c>
      <c r="H4" t="s">
        <v>28</v>
      </c>
    </row>
    <row r="5" spans="1:17" x14ac:dyDescent="0.25">
      <c r="B5" t="s">
        <v>12</v>
      </c>
      <c r="C5" s="3">
        <v>0.33300000000000002</v>
      </c>
      <c r="D5" s="1">
        <v>0.5</v>
      </c>
      <c r="E5" s="5">
        <v>60</v>
      </c>
      <c r="F5" s="5">
        <v>100</v>
      </c>
      <c r="G5">
        <v>16.7</v>
      </c>
      <c r="H5">
        <v>50</v>
      </c>
      <c r="M5" t="s">
        <v>12</v>
      </c>
      <c r="N5" t="s">
        <v>1</v>
      </c>
    </row>
    <row r="6" spans="1:17" x14ac:dyDescent="0.25">
      <c r="B6" t="s">
        <v>2</v>
      </c>
      <c r="C6" s="3">
        <v>0.439</v>
      </c>
      <c r="D6" s="1">
        <v>0.4</v>
      </c>
      <c r="E6" s="5">
        <v>40</v>
      </c>
      <c r="F6" s="5">
        <v>60</v>
      </c>
      <c r="G6">
        <v>5.9</v>
      </c>
      <c r="H6">
        <v>49</v>
      </c>
      <c r="M6" t="s">
        <v>2</v>
      </c>
      <c r="N6" t="s">
        <v>2</v>
      </c>
    </row>
    <row r="7" spans="1:17" x14ac:dyDescent="0.25">
      <c r="B7" t="s">
        <v>3</v>
      </c>
      <c r="C7" s="3">
        <v>0.46200000000000002</v>
      </c>
      <c r="D7" s="1">
        <v>0.38</v>
      </c>
      <c r="E7" s="5">
        <v>40</v>
      </c>
      <c r="F7" s="5">
        <v>50</v>
      </c>
      <c r="G7">
        <v>5.9</v>
      </c>
      <c r="H7">
        <v>49</v>
      </c>
      <c r="M7" t="s">
        <v>3</v>
      </c>
      <c r="N7" t="s">
        <v>3</v>
      </c>
    </row>
    <row r="8" spans="1:17" x14ac:dyDescent="0.25">
      <c r="B8" t="s">
        <v>13</v>
      </c>
      <c r="C8" s="3">
        <v>0.60499999999999998</v>
      </c>
      <c r="D8" s="1">
        <v>0.45</v>
      </c>
      <c r="E8" s="5">
        <v>30</v>
      </c>
      <c r="F8" s="5">
        <v>20</v>
      </c>
      <c r="G8">
        <v>2.8</v>
      </c>
      <c r="H8">
        <v>60</v>
      </c>
      <c r="M8" t="s">
        <v>13</v>
      </c>
      <c r="N8" t="s">
        <v>4</v>
      </c>
    </row>
    <row r="9" spans="1:17" x14ac:dyDescent="0.25">
      <c r="B9" t="s">
        <v>14</v>
      </c>
      <c r="C9" s="4">
        <v>0.41199999999999998</v>
      </c>
      <c r="D9" s="2">
        <v>0.2</v>
      </c>
      <c r="E9" s="5">
        <v>30</v>
      </c>
      <c r="F9" s="5">
        <v>15</v>
      </c>
      <c r="G9">
        <v>0.1</v>
      </c>
      <c r="H9">
        <v>24</v>
      </c>
      <c r="M9" t="s">
        <v>14</v>
      </c>
      <c r="N9" t="s">
        <v>4</v>
      </c>
    </row>
    <row r="11" spans="1:17" x14ac:dyDescent="0.25">
      <c r="C11" s="4"/>
    </row>
    <row r="12" spans="1:17" x14ac:dyDescent="0.25">
      <c r="A12" t="s">
        <v>26</v>
      </c>
      <c r="C12">
        <v>2015</v>
      </c>
      <c r="D12">
        <v>2016</v>
      </c>
      <c r="E12">
        <v>2017</v>
      </c>
      <c r="F12">
        <v>2018</v>
      </c>
      <c r="G12">
        <v>2019</v>
      </c>
      <c r="H12">
        <v>2020</v>
      </c>
      <c r="I12">
        <v>2021</v>
      </c>
      <c r="J12">
        <v>2022</v>
      </c>
      <c r="K12">
        <v>2023</v>
      </c>
      <c r="L12">
        <v>2024</v>
      </c>
    </row>
    <row r="13" spans="1:17" x14ac:dyDescent="0.25">
      <c r="B13" t="s">
        <v>12</v>
      </c>
      <c r="C13" s="21">
        <v>5539.45</v>
      </c>
      <c r="D13" s="21">
        <v>5935.48</v>
      </c>
      <c r="E13" s="21">
        <v>6331.51</v>
      </c>
      <c r="F13" s="21">
        <v>6727.54</v>
      </c>
      <c r="G13" s="21">
        <v>7123.57</v>
      </c>
      <c r="H13" s="21">
        <v>7519.6</v>
      </c>
      <c r="I13" s="21">
        <v>7915.63</v>
      </c>
      <c r="J13" s="21">
        <v>8311.66</v>
      </c>
      <c r="K13" s="21">
        <v>8707.69</v>
      </c>
      <c r="L13" s="21">
        <v>9103.7199999999993</v>
      </c>
      <c r="P13" s="24"/>
      <c r="Q13" s="24"/>
    </row>
    <row r="14" spans="1:17" x14ac:dyDescent="0.25">
      <c r="B14" t="s">
        <v>2</v>
      </c>
      <c r="C14" s="26">
        <v>1841.2000000000116</v>
      </c>
      <c r="D14" s="26">
        <v>1992.0800000000163</v>
      </c>
      <c r="E14" s="26">
        <v>2142.9599999999627</v>
      </c>
      <c r="F14" s="26">
        <v>2293.8399999999674</v>
      </c>
      <c r="G14" s="26">
        <v>2444.7199999999721</v>
      </c>
      <c r="H14" s="26">
        <v>2595.5999999999767</v>
      </c>
      <c r="I14" s="26">
        <v>2746.4799999999814</v>
      </c>
      <c r="J14" s="26">
        <v>2897.359999999986</v>
      </c>
      <c r="K14" s="26">
        <v>3048.2399999999907</v>
      </c>
      <c r="L14" s="26">
        <v>3199.1199999999953</v>
      </c>
      <c r="P14" s="24"/>
      <c r="Q14" s="24"/>
    </row>
    <row r="15" spans="1:17" x14ac:dyDescent="0.25">
      <c r="B15" t="s">
        <v>3</v>
      </c>
      <c r="C15" s="28">
        <v>3237.6749999999884</v>
      </c>
      <c r="D15" s="28">
        <v>3303.3199999999779</v>
      </c>
      <c r="E15" s="28">
        <v>3368.9649999999965</v>
      </c>
      <c r="F15" s="28">
        <v>3434.609999999986</v>
      </c>
      <c r="G15" s="28">
        <v>3500.2550000000047</v>
      </c>
      <c r="H15" s="28">
        <v>3565.8999999999942</v>
      </c>
      <c r="I15" s="28">
        <v>3631.5449999999837</v>
      </c>
      <c r="J15" s="28">
        <v>3697.1900000000023</v>
      </c>
      <c r="K15" s="28">
        <v>3762.8349999999919</v>
      </c>
      <c r="L15" s="28">
        <v>3828.4799999999814</v>
      </c>
      <c r="P15" s="24"/>
      <c r="Q15" s="24"/>
    </row>
    <row r="16" spans="1:17" x14ac:dyDescent="0.25">
      <c r="B16" t="s">
        <v>13</v>
      </c>
      <c r="C16" s="23">
        <v>888.54149999999936</v>
      </c>
      <c r="D16" s="23">
        <v>897.69759999999951</v>
      </c>
      <c r="E16" s="23">
        <v>906.85369999999966</v>
      </c>
      <c r="F16" s="23">
        <v>916.00979999999981</v>
      </c>
      <c r="G16" s="23">
        <v>925.16589999999997</v>
      </c>
      <c r="H16" s="23">
        <v>934.32200000000012</v>
      </c>
      <c r="I16" s="23">
        <v>943.47810000000027</v>
      </c>
      <c r="J16" s="23">
        <v>952.63420000000042</v>
      </c>
      <c r="K16" s="23">
        <v>961.79030000000057</v>
      </c>
      <c r="L16" s="23">
        <v>970.94640000000072</v>
      </c>
      <c r="P16" s="24"/>
      <c r="Q16" s="24"/>
    </row>
    <row r="17" spans="1:17" x14ac:dyDescent="0.25">
      <c r="B17" t="s">
        <v>14</v>
      </c>
      <c r="C17" s="24">
        <v>634.28499999999622</v>
      </c>
      <c r="D17" s="24">
        <v>652.90400000000227</v>
      </c>
      <c r="E17" s="24">
        <v>671.52300000000105</v>
      </c>
      <c r="F17" s="24">
        <v>690.14199999999983</v>
      </c>
      <c r="G17" s="24">
        <v>708.7609999999986</v>
      </c>
      <c r="H17" s="24">
        <v>727.37999999999738</v>
      </c>
      <c r="I17" s="24">
        <v>745.99899999999616</v>
      </c>
      <c r="J17" s="24">
        <v>764.61800000000221</v>
      </c>
      <c r="K17" s="24">
        <v>783.23700000000099</v>
      </c>
      <c r="L17" s="24">
        <v>801.85599999999977</v>
      </c>
      <c r="P17" s="24"/>
      <c r="Q17" s="24"/>
    </row>
    <row r="18" spans="1:17" x14ac:dyDescent="0.25">
      <c r="P18" s="24"/>
      <c r="Q18" s="24"/>
    </row>
    <row r="19" spans="1:17" x14ac:dyDescent="0.25">
      <c r="A19" t="s">
        <v>38</v>
      </c>
      <c r="C19">
        <v>2015</v>
      </c>
      <c r="D19">
        <v>2016</v>
      </c>
      <c r="E19">
        <v>2017</v>
      </c>
      <c r="F19">
        <v>2018</v>
      </c>
      <c r="G19">
        <v>2019</v>
      </c>
      <c r="H19">
        <v>2020</v>
      </c>
      <c r="I19">
        <v>2021</v>
      </c>
      <c r="J19">
        <v>2022</v>
      </c>
      <c r="K19">
        <v>2023</v>
      </c>
      <c r="L19">
        <v>2024</v>
      </c>
      <c r="P19" s="24"/>
      <c r="Q19" s="24"/>
    </row>
    <row r="20" spans="1:17" x14ac:dyDescent="0.25">
      <c r="B20" t="s">
        <v>12</v>
      </c>
      <c r="C20" s="22">
        <v>93.671499999999469</v>
      </c>
      <c r="D20" s="22">
        <v>97.309599999999591</v>
      </c>
      <c r="E20" s="22">
        <v>100.94769999999971</v>
      </c>
      <c r="F20" s="22">
        <v>104.58579999999984</v>
      </c>
      <c r="G20" s="22">
        <v>108.22389999999996</v>
      </c>
      <c r="H20" s="22">
        <v>111.86200000000008</v>
      </c>
      <c r="I20" s="22">
        <v>115.5001000000002</v>
      </c>
      <c r="J20" s="22">
        <v>119.13819999999942</v>
      </c>
      <c r="K20" s="22">
        <v>122.77629999999954</v>
      </c>
      <c r="L20" s="22">
        <v>126.41439999999966</v>
      </c>
      <c r="P20" s="24"/>
      <c r="Q20" s="24"/>
    </row>
    <row r="21" spans="1:17" x14ac:dyDescent="0.25">
      <c r="B21" t="s">
        <v>2</v>
      </c>
      <c r="C21" s="27">
        <v>28.0625</v>
      </c>
      <c r="D21" s="27">
        <v>31.600000000000364</v>
      </c>
      <c r="E21" s="27">
        <v>35.137499999999818</v>
      </c>
      <c r="F21" s="27">
        <v>38.675000000000182</v>
      </c>
      <c r="G21" s="27">
        <v>42.212500000000546</v>
      </c>
      <c r="H21" s="27">
        <v>45.75</v>
      </c>
      <c r="I21" s="27">
        <v>49.287500000000364</v>
      </c>
      <c r="J21" s="27">
        <v>52.824999999999818</v>
      </c>
      <c r="K21" s="27">
        <v>56.362500000000182</v>
      </c>
      <c r="L21" s="27">
        <v>59.900000000000546</v>
      </c>
      <c r="P21" s="24"/>
      <c r="Q21" s="24"/>
    </row>
    <row r="22" spans="1:17" x14ac:dyDescent="0.25">
      <c r="B22" t="s">
        <v>3</v>
      </c>
      <c r="C22" s="29">
        <v>43.6875</v>
      </c>
      <c r="D22" s="29">
        <v>45.360000000000127</v>
      </c>
      <c r="E22" s="29">
        <v>47.032500000000255</v>
      </c>
      <c r="F22" s="29">
        <v>48.704999999999927</v>
      </c>
      <c r="G22" s="29">
        <v>50.377500000000055</v>
      </c>
      <c r="H22" s="29">
        <v>52.050000000000182</v>
      </c>
      <c r="I22" s="29">
        <v>53.722500000000309</v>
      </c>
      <c r="J22" s="29">
        <v>55.394999999999982</v>
      </c>
      <c r="K22" s="29">
        <v>57.067500000000109</v>
      </c>
      <c r="L22" s="29">
        <v>58.740000000000236</v>
      </c>
      <c r="P22" s="24"/>
      <c r="Q22" s="24"/>
    </row>
    <row r="23" spans="1:17" x14ac:dyDescent="0.25">
      <c r="B23" t="s">
        <v>13</v>
      </c>
      <c r="C23" s="23">
        <v>12.811999999999898</v>
      </c>
      <c r="D23" s="23">
        <v>13.732799999999997</v>
      </c>
      <c r="E23" s="23">
        <v>14.653600000000097</v>
      </c>
      <c r="F23" s="23">
        <v>15.574399999999969</v>
      </c>
      <c r="G23" s="23">
        <v>16.495200000000068</v>
      </c>
      <c r="H23" s="23">
        <v>17.41599999999994</v>
      </c>
      <c r="I23" s="23">
        <v>18.336800000000039</v>
      </c>
      <c r="J23" s="23">
        <v>19.257599999999911</v>
      </c>
      <c r="K23" s="23">
        <v>20.178400000000011</v>
      </c>
      <c r="L23" s="23">
        <v>21.099199999999882</v>
      </c>
      <c r="P23" s="22"/>
      <c r="Q23" s="14"/>
    </row>
    <row r="24" spans="1:17" x14ac:dyDescent="0.25">
      <c r="B24" t="s">
        <v>14</v>
      </c>
      <c r="C24" s="24">
        <v>11.277500000000003</v>
      </c>
      <c r="D24" s="24">
        <v>11.384000000000015</v>
      </c>
      <c r="E24" s="24">
        <v>11.490499999999997</v>
      </c>
      <c r="F24" s="24">
        <v>11.597000000000008</v>
      </c>
      <c r="G24" s="24">
        <v>11.703499999999991</v>
      </c>
      <c r="H24" s="24">
        <v>11.810000000000002</v>
      </c>
      <c r="I24" s="24">
        <v>11.916500000000013</v>
      </c>
      <c r="J24" s="24">
        <v>12.022999999999996</v>
      </c>
      <c r="K24" s="24">
        <v>12.129500000000007</v>
      </c>
      <c r="L24" s="24">
        <v>12.23599999999999</v>
      </c>
      <c r="P24" s="14"/>
      <c r="Q24" s="14"/>
    </row>
    <row r="25" spans="1:17" x14ac:dyDescent="0.25">
      <c r="P25" s="14"/>
      <c r="Q25" s="14"/>
    </row>
    <row r="26" spans="1:17" x14ac:dyDescent="0.25">
      <c r="P26" s="14"/>
      <c r="Q26" s="14"/>
    </row>
    <row r="27" spans="1:17" x14ac:dyDescent="0.25">
      <c r="P27" s="14"/>
      <c r="Q27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D0B7-B92C-4306-AF7A-9D3ACEBB12F2}">
  <dimension ref="C5:E9"/>
  <sheetViews>
    <sheetView workbookViewId="0">
      <selection activeCell="P17" sqref="P17"/>
    </sheetView>
  </sheetViews>
  <sheetFormatPr baseColWidth="10" defaultColWidth="9.140625" defaultRowHeight="15" x14ac:dyDescent="0.25"/>
  <cols>
    <col min="3" max="3" width="16.42578125" bestFit="1" customWidth="1"/>
    <col min="4" max="4" width="8.5703125" bestFit="1" customWidth="1"/>
  </cols>
  <sheetData>
    <row r="5" spans="3:5" x14ac:dyDescent="0.25">
      <c r="C5" t="s">
        <v>29</v>
      </c>
      <c r="D5" t="s">
        <v>12</v>
      </c>
      <c r="E5" s="3">
        <v>0.87</v>
      </c>
    </row>
    <row r="6" spans="3:5" x14ac:dyDescent="0.25">
      <c r="C6" t="s">
        <v>29</v>
      </c>
      <c r="D6" t="s">
        <v>2</v>
      </c>
      <c r="E6" s="3">
        <v>0.87</v>
      </c>
    </row>
    <row r="7" spans="3:5" x14ac:dyDescent="0.25">
      <c r="C7" t="s">
        <v>29</v>
      </c>
      <c r="D7" t="s">
        <v>3</v>
      </c>
      <c r="E7" s="3">
        <v>0.86</v>
      </c>
    </row>
    <row r="8" spans="3:5" x14ac:dyDescent="0.25">
      <c r="C8" t="s">
        <v>29</v>
      </c>
      <c r="D8" t="s">
        <v>13</v>
      </c>
      <c r="E8" s="3">
        <v>0.84</v>
      </c>
    </row>
    <row r="9" spans="3:5" x14ac:dyDescent="0.25">
      <c r="C9" t="s">
        <v>29</v>
      </c>
      <c r="D9" t="s">
        <v>14</v>
      </c>
      <c r="E9" s="3">
        <v>0.87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76775-C2C6-4090-A4FF-E8AB4F9F35A2}">
  <dimension ref="A4:X53"/>
  <sheetViews>
    <sheetView workbookViewId="0">
      <selection activeCell="N14" sqref="N14"/>
    </sheetView>
  </sheetViews>
  <sheetFormatPr baseColWidth="10" defaultColWidth="9.140625" defaultRowHeight="15" x14ac:dyDescent="0.25"/>
  <cols>
    <col min="2" max="2" width="13.85546875" bestFit="1" customWidth="1"/>
    <col min="5" max="5" width="12.28515625" bestFit="1" customWidth="1"/>
    <col min="8" max="8" width="11.42578125" bestFit="1" customWidth="1"/>
    <col min="9" max="9" width="11.140625" bestFit="1" customWidth="1"/>
    <col min="13" max="13" width="13.85546875" bestFit="1" customWidth="1"/>
    <col min="14" max="14" width="10" bestFit="1" customWidth="1"/>
  </cols>
  <sheetData>
    <row r="4" spans="2:14" x14ac:dyDescent="0.25">
      <c r="C4" t="s">
        <v>23</v>
      </c>
      <c r="D4" t="s">
        <v>29</v>
      </c>
      <c r="E4" t="s">
        <v>25</v>
      </c>
      <c r="F4" t="s">
        <v>39</v>
      </c>
      <c r="G4" t="s">
        <v>32</v>
      </c>
      <c r="H4" t="s">
        <v>33</v>
      </c>
    </row>
    <row r="5" spans="2:14" x14ac:dyDescent="0.25">
      <c r="B5" t="s">
        <v>5</v>
      </c>
      <c r="C5" s="1">
        <v>1</v>
      </c>
      <c r="D5" s="1">
        <v>1</v>
      </c>
      <c r="E5">
        <v>25</v>
      </c>
      <c r="F5">
        <v>25</v>
      </c>
      <c r="G5">
        <v>0</v>
      </c>
      <c r="H5">
        <v>1</v>
      </c>
      <c r="M5" t="s">
        <v>5</v>
      </c>
      <c r="N5" t="s">
        <v>5</v>
      </c>
    </row>
    <row r="6" spans="2:14" x14ac:dyDescent="0.25">
      <c r="B6" t="s">
        <v>43</v>
      </c>
      <c r="C6" s="1">
        <v>1</v>
      </c>
      <c r="D6" s="1">
        <v>1</v>
      </c>
      <c r="E6" s="30">
        <v>20</v>
      </c>
      <c r="F6">
        <v>35</v>
      </c>
      <c r="G6">
        <v>0</v>
      </c>
      <c r="H6">
        <v>1</v>
      </c>
      <c r="M6" t="s">
        <v>43</v>
      </c>
      <c r="N6" t="s">
        <v>6</v>
      </c>
    </row>
    <row r="7" spans="2:14" x14ac:dyDescent="0.25">
      <c r="B7" t="s">
        <v>15</v>
      </c>
      <c r="C7" s="1">
        <v>1</v>
      </c>
      <c r="D7" s="1">
        <v>1</v>
      </c>
      <c r="E7">
        <v>25</v>
      </c>
      <c r="F7">
        <v>35</v>
      </c>
      <c r="G7">
        <v>0</v>
      </c>
      <c r="H7">
        <v>1</v>
      </c>
      <c r="M7" t="s">
        <v>15</v>
      </c>
      <c r="N7" t="s">
        <v>6</v>
      </c>
    </row>
    <row r="8" spans="2:14" x14ac:dyDescent="0.25">
      <c r="B8" t="s">
        <v>16</v>
      </c>
      <c r="C8" s="1">
        <v>1</v>
      </c>
      <c r="D8" s="1">
        <v>1</v>
      </c>
      <c r="E8">
        <v>80</v>
      </c>
      <c r="F8">
        <v>60</v>
      </c>
      <c r="G8">
        <v>0</v>
      </c>
      <c r="H8">
        <v>0</v>
      </c>
      <c r="M8" t="s">
        <v>16</v>
      </c>
      <c r="N8" t="s">
        <v>7</v>
      </c>
    </row>
    <row r="9" spans="2:14" x14ac:dyDescent="0.25">
      <c r="B9" t="s">
        <v>17</v>
      </c>
      <c r="C9" s="1">
        <v>1</v>
      </c>
      <c r="D9" s="1">
        <v>1</v>
      </c>
      <c r="E9">
        <v>80</v>
      </c>
      <c r="F9">
        <v>20</v>
      </c>
      <c r="G9">
        <v>1</v>
      </c>
      <c r="H9">
        <v>0</v>
      </c>
      <c r="M9" t="s">
        <v>17</v>
      </c>
      <c r="N9" t="s">
        <v>7</v>
      </c>
    </row>
    <row r="10" spans="2:14" x14ac:dyDescent="0.25">
      <c r="B10" t="s">
        <v>8</v>
      </c>
      <c r="C10" s="1">
        <v>0.45900000000000002</v>
      </c>
      <c r="D10" s="1">
        <v>0.8</v>
      </c>
      <c r="E10">
        <v>30</v>
      </c>
      <c r="F10">
        <v>100</v>
      </c>
      <c r="G10">
        <v>1</v>
      </c>
      <c r="H10">
        <v>0</v>
      </c>
      <c r="M10" t="s">
        <v>8</v>
      </c>
      <c r="N10" t="s">
        <v>8</v>
      </c>
    </row>
    <row r="11" spans="2:14" x14ac:dyDescent="0.25">
      <c r="B11" t="s">
        <v>9</v>
      </c>
      <c r="C11" s="1">
        <v>0.38</v>
      </c>
      <c r="D11" s="1">
        <v>0.8</v>
      </c>
      <c r="E11">
        <v>30</v>
      </c>
      <c r="F11">
        <v>100</v>
      </c>
      <c r="G11">
        <v>1</v>
      </c>
      <c r="H11">
        <v>0</v>
      </c>
      <c r="M11" t="s">
        <v>9</v>
      </c>
      <c r="N11" t="s">
        <v>9</v>
      </c>
    </row>
    <row r="12" spans="2:14" x14ac:dyDescent="0.25">
      <c r="B12" t="s">
        <v>18</v>
      </c>
      <c r="C12" s="1">
        <v>1</v>
      </c>
      <c r="D12" s="1">
        <v>1</v>
      </c>
      <c r="E12">
        <v>40</v>
      </c>
      <c r="F12">
        <v>80</v>
      </c>
      <c r="G12">
        <v>0</v>
      </c>
      <c r="H12">
        <v>0</v>
      </c>
      <c r="M12" t="s">
        <v>18</v>
      </c>
      <c r="N12" t="s">
        <v>10</v>
      </c>
    </row>
    <row r="13" spans="2:14" x14ac:dyDescent="0.25">
      <c r="B13" t="s">
        <v>19</v>
      </c>
      <c r="C13" s="1">
        <v>1</v>
      </c>
      <c r="D13" s="1">
        <v>1</v>
      </c>
      <c r="E13">
        <v>30</v>
      </c>
      <c r="F13">
        <v>150</v>
      </c>
      <c r="G13">
        <v>0</v>
      </c>
      <c r="H13">
        <v>0</v>
      </c>
      <c r="M13" t="s">
        <v>19</v>
      </c>
      <c r="N13" t="s">
        <v>10</v>
      </c>
    </row>
    <row r="14" spans="2:14" x14ac:dyDescent="0.25">
      <c r="B14" t="s">
        <v>11</v>
      </c>
      <c r="C14" s="1">
        <f>C11</f>
        <v>0.38</v>
      </c>
      <c r="D14" s="1">
        <v>1</v>
      </c>
      <c r="E14">
        <f t="shared" ref="E14:F14" si="0">E11</f>
        <v>30</v>
      </c>
      <c r="F14">
        <f t="shared" si="0"/>
        <v>100</v>
      </c>
      <c r="G14">
        <v>0</v>
      </c>
      <c r="H14">
        <v>0</v>
      </c>
      <c r="M14" t="s">
        <v>11</v>
      </c>
      <c r="N14" t="s">
        <v>11</v>
      </c>
    </row>
    <row r="23" spans="1:17" x14ac:dyDescent="0.25">
      <c r="A23" t="s">
        <v>26</v>
      </c>
      <c r="C23">
        <v>2015</v>
      </c>
      <c r="D23">
        <v>2016</v>
      </c>
      <c r="E23">
        <v>2017</v>
      </c>
      <c r="F23">
        <v>2018</v>
      </c>
      <c r="G23">
        <v>2019</v>
      </c>
      <c r="H23">
        <v>2020</v>
      </c>
      <c r="I23">
        <v>2021</v>
      </c>
      <c r="J23">
        <v>2022</v>
      </c>
      <c r="K23">
        <v>2023</v>
      </c>
      <c r="L23">
        <v>2024</v>
      </c>
    </row>
    <row r="24" spans="1:17" x14ac:dyDescent="0.25">
      <c r="B24" t="s">
        <v>5</v>
      </c>
      <c r="C24" s="15">
        <v>1420.74</v>
      </c>
      <c r="D24" s="15">
        <v>1344.856</v>
      </c>
      <c r="E24" s="15">
        <v>1268.972</v>
      </c>
      <c r="F24" s="15">
        <v>1193.088</v>
      </c>
      <c r="G24" s="15">
        <v>1117.204</v>
      </c>
      <c r="H24" s="15">
        <v>1041.32</v>
      </c>
      <c r="I24" s="15">
        <v>965.43600000000004</v>
      </c>
      <c r="J24" s="15">
        <v>889.55200000000002</v>
      </c>
      <c r="K24" s="15">
        <v>813.66800000000001</v>
      </c>
      <c r="L24" s="15">
        <v>737.78399999999999</v>
      </c>
    </row>
    <row r="25" spans="1:17" x14ac:dyDescent="0.25">
      <c r="B25" t="s">
        <v>43</v>
      </c>
      <c r="C25" s="30">
        <v>1335.7149999999999</v>
      </c>
      <c r="D25" s="30">
        <v>1351.896</v>
      </c>
      <c r="E25" s="30">
        <v>1368.077</v>
      </c>
      <c r="F25" s="30">
        <v>1384.258</v>
      </c>
      <c r="G25" s="30">
        <v>1400.4390000000001</v>
      </c>
      <c r="H25" s="30">
        <v>1416.62</v>
      </c>
      <c r="I25" s="30">
        <v>1432.8009999999999</v>
      </c>
      <c r="J25" s="30">
        <v>1448.982</v>
      </c>
      <c r="K25" s="30">
        <v>1465.163</v>
      </c>
      <c r="L25" s="30">
        <v>1481.3440000000001</v>
      </c>
    </row>
    <row r="26" spans="1:17" x14ac:dyDescent="0.25">
      <c r="B26" t="s">
        <v>15</v>
      </c>
      <c r="C26" s="36">
        <v>3564.140000000014</v>
      </c>
      <c r="D26" s="36">
        <v>3514.416000000012</v>
      </c>
      <c r="E26" s="36">
        <v>3464.69200000001</v>
      </c>
      <c r="F26" s="36">
        <v>3414.968000000008</v>
      </c>
      <c r="G26" s="36">
        <v>3365.2440000000061</v>
      </c>
      <c r="H26" s="36">
        <v>3315.5200000000041</v>
      </c>
      <c r="I26" s="36">
        <v>3265.7960000000021</v>
      </c>
      <c r="J26" s="36">
        <v>3216.0720000000001</v>
      </c>
      <c r="K26" s="36">
        <v>3166.3480000000127</v>
      </c>
      <c r="L26" s="36">
        <v>3116.6240000000107</v>
      </c>
    </row>
    <row r="27" spans="1:17" x14ac:dyDescent="0.25">
      <c r="B27" t="s">
        <v>16</v>
      </c>
      <c r="C27" s="32">
        <v>3291.4699999999721</v>
      </c>
      <c r="D27" s="32">
        <v>3960.5300000000279</v>
      </c>
      <c r="E27" s="32">
        <v>4629.589999999851</v>
      </c>
      <c r="F27" s="32">
        <v>5298.6499999999069</v>
      </c>
      <c r="G27" s="32">
        <v>5967.7099999999627</v>
      </c>
      <c r="H27" s="32">
        <v>6636.7700000000186</v>
      </c>
      <c r="I27" s="32">
        <v>7305.8299999998417</v>
      </c>
      <c r="J27" s="32">
        <v>7974.8899999998976</v>
      </c>
      <c r="K27" s="32">
        <v>8643.9499999999534</v>
      </c>
      <c r="L27" s="32">
        <v>9313.0100000000093</v>
      </c>
    </row>
    <row r="28" spans="1:17" x14ac:dyDescent="0.25">
      <c r="B28" t="s">
        <v>17</v>
      </c>
      <c r="C28" s="34">
        <v>3942.6999999999534</v>
      </c>
      <c r="D28" s="34">
        <v>4243.0799999999581</v>
      </c>
      <c r="E28" s="34">
        <v>4543.4599999999627</v>
      </c>
      <c r="F28" s="34">
        <v>4843.8399999999674</v>
      </c>
      <c r="G28" s="34">
        <v>5144.2199999999721</v>
      </c>
      <c r="H28" s="34">
        <v>5444.5999999999767</v>
      </c>
      <c r="I28" s="34">
        <v>5744.9799999999814</v>
      </c>
      <c r="J28" s="34">
        <v>6045.359999999986</v>
      </c>
      <c r="K28" s="34">
        <v>6345.7399999999907</v>
      </c>
      <c r="L28" s="34">
        <v>6646.1199999999953</v>
      </c>
      <c r="P28" s="31"/>
      <c r="Q28" s="31"/>
    </row>
    <row r="29" spans="1:17" x14ac:dyDescent="0.25">
      <c r="B29" t="s">
        <v>8</v>
      </c>
      <c r="C29" s="16">
        <v>3211.7000000000116</v>
      </c>
      <c r="D29" s="16">
        <v>3366.4799999999814</v>
      </c>
      <c r="E29" s="16">
        <v>3521.2600000000093</v>
      </c>
      <c r="F29" s="16">
        <v>3676.039999999979</v>
      </c>
      <c r="G29" s="16">
        <v>3830.820000000007</v>
      </c>
      <c r="H29" s="16">
        <v>3985.5999999999767</v>
      </c>
      <c r="I29" s="16">
        <v>4140.3800000000047</v>
      </c>
      <c r="J29" s="16">
        <v>4295.1599999999744</v>
      </c>
      <c r="K29" s="16">
        <v>4449.9400000000023</v>
      </c>
      <c r="L29" s="16">
        <v>4604.7200000000303</v>
      </c>
      <c r="P29" s="31"/>
      <c r="Q29" s="31"/>
    </row>
    <row r="30" spans="1:17" x14ac:dyDescent="0.25">
      <c r="B30" t="s">
        <v>9</v>
      </c>
      <c r="C30" s="9">
        <v>8530.7137000000002</v>
      </c>
      <c r="D30" s="9">
        <v>8693.5460999999996</v>
      </c>
      <c r="E30" s="9">
        <v>8415.2163</v>
      </c>
      <c r="F30" s="9">
        <v>8077.2443999999996</v>
      </c>
      <c r="G30" s="9">
        <v>8391.5488000000005</v>
      </c>
      <c r="H30" s="9">
        <v>7973.1073999999999</v>
      </c>
      <c r="I30" s="9">
        <v>8094.2849999999999</v>
      </c>
      <c r="J30" s="9">
        <v>9329.7285000000011</v>
      </c>
      <c r="K30" s="9">
        <v>8534.5005000000001</v>
      </c>
      <c r="L30" s="37">
        <v>8534.5005000000001</v>
      </c>
      <c r="P30" s="31"/>
      <c r="Q30" s="31"/>
    </row>
    <row r="31" spans="1:17" x14ac:dyDescent="0.25">
      <c r="B31" t="s">
        <v>18</v>
      </c>
      <c r="C31" s="17">
        <v>7751.3</v>
      </c>
      <c r="D31" s="17">
        <v>7992.72</v>
      </c>
      <c r="E31" s="17">
        <v>8234.14</v>
      </c>
      <c r="F31" s="17">
        <v>8475.56</v>
      </c>
      <c r="G31" s="17">
        <v>8716.98</v>
      </c>
      <c r="H31" s="17">
        <v>8958.4</v>
      </c>
      <c r="I31" s="17">
        <v>9199.82</v>
      </c>
      <c r="J31" s="17">
        <v>9441.24</v>
      </c>
      <c r="K31" s="17">
        <v>9682.66</v>
      </c>
      <c r="L31" s="17">
        <v>9924.08</v>
      </c>
      <c r="P31" s="31"/>
      <c r="Q31" s="31"/>
    </row>
    <row r="32" spans="1:17" x14ac:dyDescent="0.25">
      <c r="B32" t="s">
        <v>19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>
        <v>0</v>
      </c>
      <c r="O32" s="32"/>
      <c r="P32" s="31"/>
      <c r="Q32" s="31"/>
    </row>
    <row r="33" spans="1:24" x14ac:dyDescent="0.25">
      <c r="B33" t="s">
        <v>11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>
        <v>0</v>
      </c>
      <c r="O33" s="32"/>
      <c r="P33" s="31"/>
      <c r="Q33" s="31"/>
    </row>
    <row r="34" spans="1:24" x14ac:dyDescent="0.25">
      <c r="O34" s="32"/>
      <c r="P34" s="31"/>
      <c r="Q34" s="31"/>
    </row>
    <row r="35" spans="1:24" x14ac:dyDescent="0.25">
      <c r="O35" s="32"/>
      <c r="P35" s="31"/>
      <c r="Q35" s="31"/>
    </row>
    <row r="36" spans="1:24" x14ac:dyDescent="0.25">
      <c r="O36" s="32"/>
      <c r="P36" s="34"/>
      <c r="Q36" s="31"/>
    </row>
    <row r="37" spans="1:24" x14ac:dyDescent="0.25">
      <c r="O37" s="32"/>
      <c r="P37" s="34"/>
      <c r="Q37" s="31"/>
    </row>
    <row r="38" spans="1:24" x14ac:dyDescent="0.25">
      <c r="O38" s="32"/>
      <c r="P38" s="34"/>
      <c r="Q38" s="16"/>
    </row>
    <row r="39" spans="1:24" x14ac:dyDescent="0.25">
      <c r="O39" s="32"/>
      <c r="P39" s="34"/>
      <c r="Q39" s="16"/>
    </row>
    <row r="40" spans="1:24" x14ac:dyDescent="0.25">
      <c r="K40" s="6"/>
      <c r="O40" s="32"/>
      <c r="P40" s="34"/>
      <c r="Q40" s="17"/>
    </row>
    <row r="41" spans="1:24" x14ac:dyDescent="0.25">
      <c r="A41" t="s">
        <v>38</v>
      </c>
      <c r="C41">
        <v>2015</v>
      </c>
      <c r="D41">
        <v>2016</v>
      </c>
      <c r="E41">
        <v>2017</v>
      </c>
      <c r="F41">
        <v>2018</v>
      </c>
      <c r="G41">
        <v>2019</v>
      </c>
      <c r="H41">
        <v>2020</v>
      </c>
      <c r="I41">
        <v>2021</v>
      </c>
      <c r="J41">
        <v>2022</v>
      </c>
      <c r="K41" s="6">
        <v>2023</v>
      </c>
      <c r="L41">
        <v>2024</v>
      </c>
      <c r="O41" s="32"/>
      <c r="P41" s="34"/>
      <c r="Q41" s="17"/>
    </row>
    <row r="42" spans="1:24" x14ac:dyDescent="0.25">
      <c r="B42" t="s">
        <v>5</v>
      </c>
      <c r="C42" s="15">
        <v>21.742999999999938</v>
      </c>
      <c r="D42" s="15">
        <v>20.719199999999546</v>
      </c>
      <c r="E42" s="15">
        <v>19.695399999999609</v>
      </c>
      <c r="F42" s="15">
        <v>18.671599999999671</v>
      </c>
      <c r="G42" s="15">
        <v>17.647799999999734</v>
      </c>
      <c r="H42" s="15">
        <v>16.623999999999796</v>
      </c>
      <c r="I42" s="15">
        <v>15.600199999999859</v>
      </c>
      <c r="J42" s="15">
        <v>14.576399999999921</v>
      </c>
      <c r="K42" s="15">
        <v>13.552599999999529</v>
      </c>
      <c r="L42" s="15">
        <v>12.528799999999592</v>
      </c>
      <c r="P42" s="34"/>
      <c r="Q42" s="17"/>
    </row>
    <row r="43" spans="1:24" x14ac:dyDescent="0.25">
      <c r="B43" t="s">
        <v>43</v>
      </c>
      <c r="C43" s="30">
        <v>41.216500000000003</v>
      </c>
      <c r="D43" s="30">
        <v>39.357599999999998</v>
      </c>
      <c r="E43" s="30">
        <v>37.498699999999999</v>
      </c>
      <c r="F43" s="30">
        <v>35.639800000000001</v>
      </c>
      <c r="G43" s="30">
        <v>33.780900000000003</v>
      </c>
      <c r="H43" s="30">
        <v>31.922000000000001</v>
      </c>
      <c r="I43" s="30">
        <v>30.063099999999999</v>
      </c>
      <c r="J43" s="30">
        <v>28.2042</v>
      </c>
      <c r="K43" s="30">
        <v>26.345300000000002</v>
      </c>
      <c r="L43" s="30">
        <v>24.4864</v>
      </c>
      <c r="O43" s="33"/>
      <c r="P43" s="34"/>
      <c r="Q43" s="17"/>
    </row>
    <row r="44" spans="1:24" x14ac:dyDescent="0.25">
      <c r="B44" t="s">
        <v>15</v>
      </c>
      <c r="C44" s="37">
        <v>103.22299999999996</v>
      </c>
      <c r="D44" s="37">
        <v>99.671200000000681</v>
      </c>
      <c r="E44" s="37">
        <v>96.119400000000496</v>
      </c>
      <c r="F44" s="37">
        <v>92.567600000000311</v>
      </c>
      <c r="G44" s="37">
        <v>89.015800000000127</v>
      </c>
      <c r="H44" s="37">
        <v>85.463999999999942</v>
      </c>
      <c r="I44" s="37">
        <v>81.912200000000666</v>
      </c>
      <c r="J44" s="37">
        <v>78.360400000000482</v>
      </c>
      <c r="K44" s="37">
        <v>74.808600000000297</v>
      </c>
      <c r="L44" s="37">
        <v>71.256800000000112</v>
      </c>
      <c r="O44" s="35"/>
      <c r="P44" s="34"/>
      <c r="Q44" s="17"/>
    </row>
    <row r="45" spans="1:24" x14ac:dyDescent="0.25">
      <c r="B45" t="s">
        <v>16</v>
      </c>
      <c r="C45" s="33">
        <v>55.520499999999629</v>
      </c>
      <c r="D45" s="33">
        <v>59.435199999998986</v>
      </c>
      <c r="E45" s="33">
        <v>63.349899999999252</v>
      </c>
      <c r="F45" s="33">
        <v>67.264599999999518</v>
      </c>
      <c r="G45" s="33">
        <v>71.179299999998875</v>
      </c>
      <c r="H45" s="33">
        <v>75.093999999999141</v>
      </c>
      <c r="I45" s="33">
        <v>79.008699999999408</v>
      </c>
      <c r="J45" s="33">
        <v>82.923399999999674</v>
      </c>
      <c r="K45" s="33">
        <v>86.838099999999031</v>
      </c>
      <c r="L45" s="33">
        <v>90.752799999999297</v>
      </c>
      <c r="O45" s="35"/>
      <c r="P45" s="34"/>
      <c r="Q45" s="17"/>
    </row>
    <row r="46" spans="1:24" x14ac:dyDescent="0.25">
      <c r="B46" t="s">
        <v>17</v>
      </c>
      <c r="C46" s="35">
        <v>69.164499999999975</v>
      </c>
      <c r="D46" s="35">
        <v>69.488799999999969</v>
      </c>
      <c r="E46" s="35">
        <v>69.813099999999963</v>
      </c>
      <c r="F46" s="35">
        <v>70.137399999999957</v>
      </c>
      <c r="G46" s="35">
        <v>70.461699999999951</v>
      </c>
      <c r="H46" s="35">
        <v>70.785999999999945</v>
      </c>
      <c r="I46" s="35">
        <v>71.110300000000052</v>
      </c>
      <c r="J46" s="35">
        <v>71.434600000000046</v>
      </c>
      <c r="K46" s="35">
        <v>71.75890000000004</v>
      </c>
      <c r="L46" s="35">
        <v>72.083200000000033</v>
      </c>
      <c r="O46" s="35"/>
      <c r="P46" s="17"/>
      <c r="Q46" s="17"/>
    </row>
    <row r="47" spans="1:24" x14ac:dyDescent="0.25">
      <c r="B47" t="s">
        <v>8</v>
      </c>
      <c r="C47" s="16">
        <v>96.808000000000902</v>
      </c>
      <c r="D47" s="16">
        <v>101.19520000000011</v>
      </c>
      <c r="E47" s="16">
        <v>105.58240000000114</v>
      </c>
      <c r="F47" s="16">
        <v>109.96960000000036</v>
      </c>
      <c r="G47" s="16">
        <v>114.35679999999957</v>
      </c>
      <c r="H47" s="16">
        <v>118.7440000000006</v>
      </c>
      <c r="I47" s="16">
        <v>123.13119999999981</v>
      </c>
      <c r="J47" s="16">
        <v>127.51840000000084</v>
      </c>
      <c r="K47" s="16">
        <v>131.90560000000005</v>
      </c>
      <c r="L47" s="16">
        <v>136.29280000000108</v>
      </c>
      <c r="O47" s="35"/>
      <c r="P47" s="17"/>
      <c r="Q47" s="17"/>
    </row>
    <row r="48" spans="1:24" x14ac:dyDescent="0.25">
      <c r="B48" t="s">
        <v>9</v>
      </c>
      <c r="C48" s="12">
        <v>341.22854799999999</v>
      </c>
      <c r="D48" s="12">
        <v>347.74184400000001</v>
      </c>
      <c r="E48" s="12">
        <v>336.60865200000001</v>
      </c>
      <c r="F48" s="12">
        <v>323.08977599999997</v>
      </c>
      <c r="G48" s="12">
        <v>335.66195200000004</v>
      </c>
      <c r="H48" s="12">
        <v>318.92429600000003</v>
      </c>
      <c r="I48" s="12">
        <v>323.77140000000003</v>
      </c>
      <c r="J48" s="12">
        <v>373.18914000000007</v>
      </c>
      <c r="K48" s="12">
        <v>341.38002</v>
      </c>
      <c r="L48" s="37">
        <v>341.38002</v>
      </c>
      <c r="O48" s="35"/>
      <c r="P48" s="19"/>
      <c r="Q48" s="19"/>
      <c r="R48" s="19"/>
      <c r="S48" s="19"/>
      <c r="T48" s="19"/>
      <c r="U48" s="19"/>
      <c r="V48" s="19"/>
      <c r="W48" s="19"/>
      <c r="X48" s="19"/>
    </row>
    <row r="49" spans="2:24" x14ac:dyDescent="0.25">
      <c r="B49" t="s">
        <v>18</v>
      </c>
      <c r="C49" s="17">
        <v>338.95499999999998</v>
      </c>
      <c r="D49" s="17">
        <v>314.15199999999999</v>
      </c>
      <c r="E49" s="17">
        <v>289.34899999999999</v>
      </c>
      <c r="F49" s="17">
        <v>264.54599999999999</v>
      </c>
      <c r="G49" s="17">
        <v>239.74299999999999</v>
      </c>
      <c r="H49" s="17">
        <v>214.94</v>
      </c>
      <c r="I49" s="17">
        <v>190.137</v>
      </c>
      <c r="J49" s="17">
        <v>165.334</v>
      </c>
      <c r="K49" s="17">
        <v>140.53100000000001</v>
      </c>
      <c r="L49" s="17">
        <v>115.72799999999999</v>
      </c>
      <c r="O49" s="35"/>
      <c r="P49" s="20"/>
      <c r="Q49" s="20"/>
      <c r="R49" s="20"/>
      <c r="S49" s="20"/>
      <c r="T49" s="20"/>
      <c r="U49" s="20"/>
      <c r="V49" s="20"/>
      <c r="W49" s="20"/>
      <c r="X49" s="20"/>
    </row>
    <row r="50" spans="2:24" x14ac:dyDescent="0.25">
      <c r="B50" t="s">
        <v>19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37">
        <v>0</v>
      </c>
      <c r="O50" s="35"/>
      <c r="P50" s="20"/>
      <c r="Q50" s="20"/>
      <c r="R50" s="20"/>
      <c r="S50" s="20"/>
      <c r="T50" s="20"/>
      <c r="U50" s="20"/>
      <c r="V50" s="20"/>
      <c r="W50" s="20"/>
      <c r="X50" s="20"/>
    </row>
    <row r="51" spans="2:24" x14ac:dyDescent="0.25">
      <c r="B51" t="s">
        <v>11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37">
        <v>0</v>
      </c>
      <c r="O51" s="35"/>
    </row>
    <row r="52" spans="2:24" x14ac:dyDescent="0.25">
      <c r="O52" s="35"/>
    </row>
    <row r="53" spans="2:24" x14ac:dyDescent="0.25">
      <c r="O53" s="35"/>
    </row>
  </sheetData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AC466-D62E-442E-9342-2BE61F4CCBEF}">
  <dimension ref="A4:X26"/>
  <sheetViews>
    <sheetView workbookViewId="0">
      <selection activeCell="F32" sqref="F32"/>
    </sheetView>
  </sheetViews>
  <sheetFormatPr baseColWidth="10" defaultColWidth="9.140625" defaultRowHeight="15" x14ac:dyDescent="0.25"/>
  <cols>
    <col min="1" max="1" width="24.7109375" bestFit="1" customWidth="1"/>
    <col min="2" max="2" width="12.7109375" bestFit="1" customWidth="1"/>
    <col min="3" max="3" width="9.7109375" bestFit="1" customWidth="1"/>
    <col min="5" max="5" width="12.28515625" bestFit="1" customWidth="1"/>
  </cols>
  <sheetData>
    <row r="4" spans="1:24" x14ac:dyDescent="0.25">
      <c r="C4" t="s">
        <v>23</v>
      </c>
      <c r="D4" t="s">
        <v>29</v>
      </c>
      <c r="E4" t="s">
        <v>25</v>
      </c>
      <c r="F4" t="s">
        <v>39</v>
      </c>
    </row>
    <row r="5" spans="1:24" x14ac:dyDescent="0.25">
      <c r="B5" t="s">
        <v>20</v>
      </c>
      <c r="C5" s="2">
        <v>0.77500000000000002</v>
      </c>
      <c r="D5" s="1">
        <v>0.97</v>
      </c>
      <c r="E5" s="5">
        <v>80</v>
      </c>
      <c r="F5" s="5">
        <v>20</v>
      </c>
    </row>
    <row r="6" spans="1:24" x14ac:dyDescent="0.25">
      <c r="B6" t="s">
        <v>21</v>
      </c>
      <c r="C6" s="2">
        <v>0.85</v>
      </c>
      <c r="D6" s="1">
        <v>0.99</v>
      </c>
      <c r="E6" s="5">
        <v>11</v>
      </c>
      <c r="F6" s="5">
        <v>2</v>
      </c>
    </row>
    <row r="9" spans="1:24" x14ac:dyDescent="0.25">
      <c r="A9" t="s">
        <v>34</v>
      </c>
      <c r="C9">
        <v>2015</v>
      </c>
      <c r="D9">
        <v>2016</v>
      </c>
      <c r="E9">
        <v>2017</v>
      </c>
      <c r="F9">
        <v>2018</v>
      </c>
      <c r="G9">
        <v>2019</v>
      </c>
      <c r="H9">
        <v>2020</v>
      </c>
      <c r="I9">
        <v>2021</v>
      </c>
      <c r="J9">
        <v>2022</v>
      </c>
      <c r="K9">
        <v>2023</v>
      </c>
      <c r="L9">
        <v>2024</v>
      </c>
    </row>
    <row r="10" spans="1:24" x14ac:dyDescent="0.25">
      <c r="B10" t="s">
        <v>20</v>
      </c>
      <c r="C10" s="25">
        <v>1928.6100000000151</v>
      </c>
      <c r="D10" s="25">
        <v>2023.3839999999909</v>
      </c>
      <c r="E10" s="25">
        <v>2118.1579999999958</v>
      </c>
      <c r="F10" s="25">
        <v>2212.9320000000007</v>
      </c>
      <c r="G10" s="25">
        <v>2307.7060000000056</v>
      </c>
      <c r="H10" s="25">
        <v>2402.4800000000105</v>
      </c>
      <c r="I10" s="25">
        <v>2497.2540000000154</v>
      </c>
      <c r="J10" s="25">
        <v>2592.0279999999912</v>
      </c>
      <c r="K10" s="25">
        <v>2686.801999999996</v>
      </c>
      <c r="L10" s="25">
        <v>2781.5760000000009</v>
      </c>
    </row>
    <row r="11" spans="1:24" x14ac:dyDescent="0.25">
      <c r="B11" t="s">
        <v>21</v>
      </c>
      <c r="C11" s="25">
        <v>1890.7149999999999</v>
      </c>
      <c r="D11" s="25">
        <v>1856.6959999999999</v>
      </c>
      <c r="E11" s="25">
        <v>1822.6769999999999</v>
      </c>
      <c r="F11" s="25">
        <v>1788.6579999999999</v>
      </c>
      <c r="G11" s="25">
        <v>1754.6389999999999</v>
      </c>
      <c r="H11" s="25">
        <v>1720.62</v>
      </c>
      <c r="I11" s="25">
        <v>1686.6010000000001</v>
      </c>
      <c r="J11" s="25">
        <v>1652.5820000000001</v>
      </c>
      <c r="K11" s="25">
        <v>1618.5630000000001</v>
      </c>
      <c r="L11" s="25">
        <v>1584.5440000000001</v>
      </c>
      <c r="P11" s="25"/>
      <c r="Q11" s="25"/>
    </row>
    <row r="12" spans="1:24" x14ac:dyDescent="0.25">
      <c r="P12" s="25"/>
      <c r="Q12" s="25"/>
    </row>
    <row r="13" spans="1:24" x14ac:dyDescent="0.25">
      <c r="P13" s="25"/>
      <c r="Q13" s="25"/>
    </row>
    <row r="14" spans="1:24" x14ac:dyDescent="0.25">
      <c r="A14" t="s">
        <v>35</v>
      </c>
      <c r="C14">
        <v>2015</v>
      </c>
      <c r="D14">
        <v>2016</v>
      </c>
      <c r="E14">
        <v>2017</v>
      </c>
      <c r="F14">
        <v>2018</v>
      </c>
      <c r="G14">
        <v>2019</v>
      </c>
      <c r="H14">
        <v>2020</v>
      </c>
      <c r="I14">
        <v>2021</v>
      </c>
      <c r="J14">
        <v>2022</v>
      </c>
      <c r="K14">
        <v>2023</v>
      </c>
      <c r="L14">
        <v>2024</v>
      </c>
      <c r="P14" s="25"/>
      <c r="Q14" s="25"/>
    </row>
    <row r="15" spans="1:24" x14ac:dyDescent="0.25">
      <c r="B15" t="s">
        <v>20</v>
      </c>
      <c r="C15" s="25">
        <v>0.16631149999999981</v>
      </c>
      <c r="D15" s="25">
        <v>0.1656655999999998</v>
      </c>
      <c r="E15" s="25">
        <v>0.16501969999999982</v>
      </c>
      <c r="F15" s="25">
        <v>0.16437379999999985</v>
      </c>
      <c r="G15" s="25">
        <v>0.16372789999999987</v>
      </c>
      <c r="H15" s="25">
        <v>0.16308199999999989</v>
      </c>
      <c r="I15" s="25">
        <v>0.16243609999999989</v>
      </c>
      <c r="J15" s="25">
        <v>0.16179019999999991</v>
      </c>
      <c r="K15" s="25">
        <v>0.16114429999999993</v>
      </c>
      <c r="L15" s="25">
        <v>0.16049839999999996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</row>
    <row r="16" spans="1:24" x14ac:dyDescent="0.25">
      <c r="B16" t="s">
        <v>21</v>
      </c>
      <c r="C16" s="25">
        <v>0.80279</v>
      </c>
      <c r="D16" s="25">
        <v>0.73557600000000001</v>
      </c>
      <c r="E16" s="25">
        <v>0.66836200000000001</v>
      </c>
      <c r="F16" s="25">
        <v>0.60114800000000002</v>
      </c>
      <c r="G16" s="25">
        <v>0.53393400000000002</v>
      </c>
      <c r="H16" s="25">
        <v>0.46672000000000002</v>
      </c>
      <c r="I16" s="25">
        <v>0.39950599999999997</v>
      </c>
      <c r="J16" s="25">
        <v>0.33229199999999998</v>
      </c>
      <c r="K16" s="25">
        <v>0.26507799999999998</v>
      </c>
      <c r="L16" s="25">
        <v>0.19786400000000001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</row>
    <row r="17" spans="1:24" x14ac:dyDescent="0.25">
      <c r="P17" s="25"/>
      <c r="Q17" s="25"/>
    </row>
    <row r="18" spans="1:24" x14ac:dyDescent="0.25">
      <c r="P18" s="37"/>
      <c r="Q18" s="37"/>
      <c r="R18" s="37"/>
      <c r="S18" s="37"/>
      <c r="T18" s="37"/>
      <c r="U18" s="37"/>
      <c r="V18" s="37"/>
      <c r="W18" s="37"/>
      <c r="X18" s="37"/>
    </row>
    <row r="19" spans="1:24" x14ac:dyDescent="0.25">
      <c r="A19" t="s">
        <v>36</v>
      </c>
      <c r="C19">
        <v>2015</v>
      </c>
      <c r="D19">
        <v>2016</v>
      </c>
      <c r="E19">
        <v>2017</v>
      </c>
      <c r="F19">
        <v>2018</v>
      </c>
      <c r="G19">
        <v>2019</v>
      </c>
      <c r="H19">
        <v>2020</v>
      </c>
      <c r="I19">
        <v>2021</v>
      </c>
      <c r="J19">
        <v>2022</v>
      </c>
      <c r="K19">
        <v>2023</v>
      </c>
      <c r="L19">
        <v>2024</v>
      </c>
      <c r="O19" s="37"/>
      <c r="P19" s="37"/>
      <c r="Q19" s="37"/>
      <c r="R19" s="37"/>
      <c r="S19" s="37"/>
      <c r="T19" s="37"/>
      <c r="U19" s="37"/>
      <c r="V19" s="37"/>
      <c r="W19" s="37"/>
      <c r="X19" s="37"/>
    </row>
    <row r="20" spans="1:24" x14ac:dyDescent="0.25">
      <c r="B20" t="s">
        <v>20</v>
      </c>
      <c r="C20">
        <v>6</v>
      </c>
      <c r="D20" s="13">
        <v>6</v>
      </c>
      <c r="E20" s="13">
        <v>6</v>
      </c>
      <c r="F20" s="13">
        <v>6</v>
      </c>
      <c r="G20" s="13">
        <v>6</v>
      </c>
      <c r="H20" s="13">
        <v>6</v>
      </c>
      <c r="I20" s="13">
        <v>6</v>
      </c>
      <c r="J20" s="13">
        <v>6</v>
      </c>
      <c r="K20" s="13">
        <v>6</v>
      </c>
      <c r="L20" s="13">
        <v>6</v>
      </c>
      <c r="P20" s="25"/>
      <c r="Q20" s="25"/>
    </row>
    <row r="21" spans="1:24" x14ac:dyDescent="0.25">
      <c r="B21" t="s">
        <v>21</v>
      </c>
      <c r="C21">
        <v>2</v>
      </c>
      <c r="D21" s="13">
        <v>2</v>
      </c>
      <c r="E21" s="13">
        <v>2</v>
      </c>
      <c r="F21" s="13">
        <v>2</v>
      </c>
      <c r="G21" s="13">
        <v>2</v>
      </c>
      <c r="H21" s="13">
        <v>2</v>
      </c>
      <c r="I21" s="13">
        <v>2</v>
      </c>
      <c r="J21" s="13">
        <v>2</v>
      </c>
      <c r="K21" s="13">
        <v>2</v>
      </c>
      <c r="L21" s="13">
        <v>2</v>
      </c>
    </row>
    <row r="24" spans="1:24" x14ac:dyDescent="0.25">
      <c r="A24" t="s">
        <v>37</v>
      </c>
      <c r="C24">
        <v>2015</v>
      </c>
      <c r="D24">
        <v>2016</v>
      </c>
      <c r="E24">
        <v>2017</v>
      </c>
      <c r="F24">
        <v>2018</v>
      </c>
      <c r="G24">
        <v>2019</v>
      </c>
      <c r="H24">
        <v>2020</v>
      </c>
      <c r="I24">
        <v>2021</v>
      </c>
      <c r="J24">
        <v>2022</v>
      </c>
      <c r="K24">
        <v>2023</v>
      </c>
      <c r="L24">
        <v>2024</v>
      </c>
    </row>
    <row r="25" spans="1:24" x14ac:dyDescent="0.25">
      <c r="B25" t="s">
        <v>20</v>
      </c>
      <c r="C25">
        <v>0.75</v>
      </c>
      <c r="D25" s="13">
        <v>0.75</v>
      </c>
      <c r="E25" s="13">
        <v>0.75</v>
      </c>
      <c r="F25" s="13">
        <v>0.75</v>
      </c>
      <c r="G25" s="13">
        <v>0.75</v>
      </c>
      <c r="H25" s="13">
        <v>0.75</v>
      </c>
      <c r="I25" s="13">
        <v>0.75</v>
      </c>
      <c r="J25" s="13">
        <v>0.75</v>
      </c>
      <c r="K25" s="13">
        <v>0.75</v>
      </c>
      <c r="L25" s="13">
        <v>0.75</v>
      </c>
    </row>
    <row r="26" spans="1:24" x14ac:dyDescent="0.25">
      <c r="B26" t="s">
        <v>21</v>
      </c>
      <c r="C26">
        <v>0.9</v>
      </c>
      <c r="D26" s="13">
        <v>0.9</v>
      </c>
      <c r="E26" s="13">
        <v>0.9</v>
      </c>
      <c r="F26" s="13">
        <v>0.9</v>
      </c>
      <c r="G26" s="13">
        <v>0.9</v>
      </c>
      <c r="H26" s="13">
        <v>0.9</v>
      </c>
      <c r="I26" s="13">
        <v>0.9</v>
      </c>
      <c r="J26" s="13">
        <v>0.9</v>
      </c>
      <c r="K26" s="13">
        <v>0.9</v>
      </c>
      <c r="L26" s="13">
        <v>0.9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70AB-8EA7-401B-9C9C-5085E44C8BC7}">
  <dimension ref="C3:F15"/>
  <sheetViews>
    <sheetView workbookViewId="0">
      <selection activeCell="I18" sqref="I18"/>
    </sheetView>
  </sheetViews>
  <sheetFormatPr baseColWidth="10" defaultColWidth="9.140625" defaultRowHeight="15" x14ac:dyDescent="0.25"/>
  <sheetData>
    <row r="3" spans="3:6" x14ac:dyDescent="0.25">
      <c r="C3" t="s">
        <v>22</v>
      </c>
    </row>
    <row r="6" spans="3:6" x14ac:dyDescent="0.25">
      <c r="C6">
        <v>2015</v>
      </c>
      <c r="D6" s="37">
        <v>0</v>
      </c>
      <c r="F6" s="37">
        <v>7.5</v>
      </c>
    </row>
    <row r="7" spans="3:6" x14ac:dyDescent="0.25">
      <c r="C7">
        <v>2016</v>
      </c>
      <c r="D7" s="37">
        <v>0</v>
      </c>
      <c r="F7" s="37">
        <v>8</v>
      </c>
    </row>
    <row r="8" spans="3:6" x14ac:dyDescent="0.25">
      <c r="C8">
        <v>2017</v>
      </c>
      <c r="D8" s="37">
        <v>0</v>
      </c>
      <c r="F8" s="37">
        <v>5.8</v>
      </c>
    </row>
    <row r="9" spans="3:6" x14ac:dyDescent="0.25">
      <c r="C9">
        <v>2018</v>
      </c>
      <c r="D9" s="37">
        <v>0</v>
      </c>
      <c r="F9" s="37">
        <v>15</v>
      </c>
    </row>
    <row r="10" spans="3:6" x14ac:dyDescent="0.25">
      <c r="C10">
        <v>2019</v>
      </c>
      <c r="D10" s="37">
        <v>0</v>
      </c>
      <c r="F10" s="37">
        <v>24.9</v>
      </c>
    </row>
    <row r="11" spans="3:6" x14ac:dyDescent="0.25">
      <c r="C11">
        <v>2020</v>
      </c>
      <c r="D11" s="37">
        <v>0</v>
      </c>
      <c r="F11" s="37">
        <v>24.8</v>
      </c>
    </row>
    <row r="12" spans="3:6" x14ac:dyDescent="0.25">
      <c r="C12">
        <v>2021</v>
      </c>
      <c r="D12" s="37">
        <v>0</v>
      </c>
      <c r="F12" s="37">
        <v>52.9</v>
      </c>
    </row>
    <row r="13" spans="3:6" x14ac:dyDescent="0.25">
      <c r="C13">
        <v>2022</v>
      </c>
      <c r="D13" s="37">
        <v>0</v>
      </c>
      <c r="F13" s="37">
        <v>79.7</v>
      </c>
    </row>
    <row r="14" spans="3:6" x14ac:dyDescent="0.25">
      <c r="C14">
        <v>2023</v>
      </c>
      <c r="D14" s="37">
        <v>0</v>
      </c>
      <c r="F14" s="37">
        <v>83.3</v>
      </c>
    </row>
    <row r="15" spans="3:6" x14ac:dyDescent="0.25">
      <c r="C15">
        <v>2024</v>
      </c>
      <c r="D15" s="37">
        <v>0</v>
      </c>
      <c r="F15" s="37">
        <v>67.534999999999997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AA645-5ABA-4134-ABC8-A6853E99F31E}">
  <dimension ref="B3:I10"/>
  <sheetViews>
    <sheetView workbookViewId="0">
      <selection activeCell="I10" sqref="I10"/>
    </sheetView>
  </sheetViews>
  <sheetFormatPr baseColWidth="10" defaultRowHeight="15" x14ac:dyDescent="0.25"/>
  <sheetData>
    <row r="3" spans="2:9" x14ac:dyDescent="0.25">
      <c r="C3" t="s">
        <v>44</v>
      </c>
      <c r="D3" t="s">
        <v>45</v>
      </c>
      <c r="E3" t="s">
        <v>46</v>
      </c>
      <c r="F3" t="s">
        <v>47</v>
      </c>
      <c r="G3" t="s">
        <v>40</v>
      </c>
      <c r="H3" t="s">
        <v>41</v>
      </c>
      <c r="I3" t="s">
        <v>42</v>
      </c>
    </row>
    <row r="4" spans="2:9" x14ac:dyDescent="0.25">
      <c r="B4" s="37" t="s">
        <v>44</v>
      </c>
      <c r="C4">
        <v>0</v>
      </c>
      <c r="D4">
        <v>0</v>
      </c>
      <c r="E4">
        <v>2359</v>
      </c>
      <c r="F4">
        <v>7347</v>
      </c>
      <c r="G4">
        <v>0</v>
      </c>
      <c r="H4">
        <v>0</v>
      </c>
      <c r="I4">
        <v>0</v>
      </c>
    </row>
    <row r="5" spans="2:9" x14ac:dyDescent="0.25">
      <c r="B5" s="37" t="s">
        <v>45</v>
      </c>
      <c r="C5">
        <v>0</v>
      </c>
      <c r="D5">
        <v>0</v>
      </c>
      <c r="E5">
        <v>8009</v>
      </c>
      <c r="F5">
        <v>0</v>
      </c>
      <c r="G5">
        <v>0</v>
      </c>
      <c r="H5">
        <v>0</v>
      </c>
      <c r="I5">
        <v>0</v>
      </c>
    </row>
    <row r="6" spans="2:9" x14ac:dyDescent="0.25">
      <c r="B6" s="37" t="s">
        <v>46</v>
      </c>
      <c r="C6">
        <v>2359</v>
      </c>
      <c r="D6">
        <v>8009</v>
      </c>
      <c r="E6">
        <v>0</v>
      </c>
      <c r="F6">
        <v>5882</v>
      </c>
      <c r="G6">
        <v>2025</v>
      </c>
      <c r="H6">
        <v>0</v>
      </c>
      <c r="I6">
        <v>164</v>
      </c>
    </row>
    <row r="7" spans="2:9" x14ac:dyDescent="0.25">
      <c r="B7" s="37" t="s">
        <v>47</v>
      </c>
      <c r="C7">
        <v>7347</v>
      </c>
      <c r="D7">
        <v>0</v>
      </c>
      <c r="E7">
        <v>5882</v>
      </c>
      <c r="F7">
        <v>0</v>
      </c>
      <c r="G7">
        <v>2415</v>
      </c>
      <c r="H7">
        <v>1796</v>
      </c>
      <c r="I7">
        <v>0</v>
      </c>
    </row>
    <row r="8" spans="2:9" x14ac:dyDescent="0.25">
      <c r="B8" s="37" t="s">
        <v>40</v>
      </c>
      <c r="C8">
        <v>0</v>
      </c>
      <c r="D8">
        <v>0</v>
      </c>
      <c r="E8">
        <v>2025</v>
      </c>
      <c r="F8">
        <v>2415</v>
      </c>
      <c r="G8">
        <v>0</v>
      </c>
      <c r="H8">
        <v>1899</v>
      </c>
      <c r="I8">
        <v>2026</v>
      </c>
    </row>
    <row r="9" spans="2:9" x14ac:dyDescent="0.25">
      <c r="B9" s="37" t="s">
        <v>41</v>
      </c>
      <c r="C9">
        <v>0</v>
      </c>
      <c r="D9">
        <v>0</v>
      </c>
      <c r="E9">
        <v>0</v>
      </c>
      <c r="F9">
        <v>1796</v>
      </c>
      <c r="G9">
        <v>1899</v>
      </c>
      <c r="H9">
        <v>0</v>
      </c>
      <c r="I9">
        <v>737</v>
      </c>
    </row>
    <row r="10" spans="2:9" x14ac:dyDescent="0.25">
      <c r="B10" s="37" t="s">
        <v>42</v>
      </c>
      <c r="C10">
        <v>0</v>
      </c>
      <c r="D10">
        <v>0</v>
      </c>
      <c r="E10">
        <v>164</v>
      </c>
      <c r="F10">
        <v>0</v>
      </c>
      <c r="G10">
        <v>2026</v>
      </c>
      <c r="H10">
        <v>737</v>
      </c>
      <c r="I10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fuel_conv</vt:lpstr>
      <vt:lpstr>fuel_renew</vt:lpstr>
      <vt:lpstr>tech_conv</vt:lpstr>
      <vt:lpstr>outages_conv</vt:lpstr>
      <vt:lpstr>tech_renew</vt:lpstr>
      <vt:lpstr>tech_stor</vt:lpstr>
      <vt:lpstr>co2</vt:lpstr>
      <vt:lpstr>ntc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Gams_Froehlich</dc:creator>
  <cp:lastModifiedBy>Pascal Fröhlich</cp:lastModifiedBy>
  <dcterms:created xsi:type="dcterms:W3CDTF">2024-09-17T09:01:26Z</dcterms:created>
  <dcterms:modified xsi:type="dcterms:W3CDTF">2026-06-01T07:18:17Z</dcterms:modified>
</cp:coreProperties>
</file>