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petitiveness_of_RES\01_Basic Model\02_Input Data\01_Historical\"/>
    </mc:Choice>
  </mc:AlternateContent>
  <xr:revisionPtr revIDLastSave="0" documentId="13_ncr:1_{D0D314D4-4B84-4EAB-8913-4985E24A981E}" xr6:coauthVersionLast="47" xr6:coauthVersionMax="47" xr10:uidLastSave="{00000000-0000-0000-0000-000000000000}"/>
  <bookViews>
    <workbookView xWindow="38280" yWindow="45" windowWidth="38640" windowHeight="21120" activeTab="1" xr2:uid="{9BA085BD-A4BD-4D3B-9BBD-ABB9433EC046}"/>
  </bookViews>
  <sheets>
    <sheet name="fuel_conv" sheetId="1" r:id="rId1"/>
    <sheet name="fuel_renew" sheetId="2" r:id="rId2"/>
    <sheet name="tech_conv" sheetId="3" r:id="rId3"/>
    <sheet name="outages_conv" sheetId="8" r:id="rId4"/>
    <sheet name="tech_renew" sheetId="4" r:id="rId5"/>
    <sheet name="tech_stor" sheetId="5" r:id="rId6"/>
    <sheet name="co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4" l="1"/>
  <c r="E20" i="4"/>
  <c r="C20" i="4"/>
</calcChain>
</file>

<file path=xl/sharedStrings.xml><?xml version="1.0" encoding="utf-8"?>
<sst xmlns="http://schemas.openxmlformats.org/spreadsheetml/2006/main" count="171" uniqueCount="48">
  <si>
    <t>fuelprice</t>
  </si>
  <si>
    <t>uranium</t>
  </si>
  <si>
    <t>lignite</t>
  </si>
  <si>
    <t>hardcoal</t>
  </si>
  <si>
    <t>gas</t>
  </si>
  <si>
    <t>solar</t>
  </si>
  <si>
    <t>wind</t>
  </si>
  <si>
    <t>hydro</t>
  </si>
  <si>
    <t>bioenergy</t>
  </si>
  <si>
    <t>waste</t>
  </si>
  <si>
    <t>otherres</t>
  </si>
  <si>
    <t>othergas</t>
  </si>
  <si>
    <t>nuclear</t>
  </si>
  <si>
    <t>ccgt</t>
  </si>
  <si>
    <t>ocgt</t>
  </si>
  <si>
    <t>solar1</t>
  </si>
  <si>
    <t>solar2</t>
  </si>
  <si>
    <t>solar3</t>
  </si>
  <si>
    <t>solar4</t>
  </si>
  <si>
    <t>windonshore1</t>
  </si>
  <si>
    <t>windonshore2</t>
  </si>
  <si>
    <t>windonshore3</t>
  </si>
  <si>
    <t>windonshore4</t>
  </si>
  <si>
    <t>windoffshore</t>
  </si>
  <si>
    <t>runofriver</t>
  </si>
  <si>
    <t>reservoir</t>
  </si>
  <si>
    <t>geothermal</t>
  </si>
  <si>
    <t>marine</t>
  </si>
  <si>
    <t>pumpstorage</t>
  </si>
  <si>
    <t>battery</t>
  </si>
  <si>
    <t>carbonprice</t>
  </si>
  <si>
    <t>efficiency</t>
  </si>
  <si>
    <t>gmin</t>
  </si>
  <si>
    <t>lifetime_eco</t>
  </si>
  <si>
    <t>covernight</t>
  </si>
  <si>
    <t>startup_fuelconsumption</t>
  </si>
  <si>
    <t>startup_fixcost</t>
  </si>
  <si>
    <t>avail</t>
  </si>
  <si>
    <t>carboncontent</t>
  </si>
  <si>
    <t>oil</t>
  </si>
  <si>
    <t>renew_disp</t>
  </si>
  <si>
    <t>renew_curt</t>
  </si>
  <si>
    <t>covernight_kW</t>
  </si>
  <si>
    <t>covernight_MWh</t>
  </si>
  <si>
    <t>storageduration</t>
  </si>
  <si>
    <t>discharge_to_charge_ratio</t>
  </si>
  <si>
    <t>cvarom MWh</t>
  </si>
  <si>
    <t>*cfix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</si>
</sst>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9" formatCode="_-* #,##0.00_-;\-* #,##0.00_-;_-* &quot;-&quot;??_-;_-@_-"/>
    <numFmt numFmtId="171" formatCode="[$-1010809]dd/mm/yyyy"/>
    <numFmt numFmtId="173" formatCode="_-* #,##0.00\ &quot;DM&quot;_-;\-* #,##0.00\ &quot;DM&quot;_-;_-* &quot;-&quot;??\ &quot;DM&quot;_-;_-@_-"/>
    <numFmt numFmtId="174" formatCode="_-* #,##0.00\ _D_M_-;\-* #,##0.00\ _D_M_-;_-* &quot;-&quot;??\ _D_M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b/>
      <sz val="13"/>
      <color indexed="56"/>
      <name val="Calibri"/>
      <family val="2"/>
    </font>
    <font>
      <b/>
      <sz val="15"/>
      <color indexed="56"/>
      <name val="Calibri"/>
      <family val="2"/>
    </font>
    <font>
      <sz val="10"/>
      <color rgb="FF006100"/>
      <name val="Verdana"/>
      <family val="2"/>
    </font>
    <font>
      <u/>
      <sz val="10"/>
      <color theme="10"/>
      <name val="Arial"/>
      <family val="2"/>
    </font>
    <font>
      <sz val="10"/>
      <color theme="1"/>
      <name val="Verdana"/>
      <family val="2"/>
    </font>
    <font>
      <sz val="12"/>
      <color rgb="FF000000"/>
      <name val="Calibri"/>
      <family val="2"/>
    </font>
    <font>
      <u/>
      <sz val="10"/>
      <color rgb="FF0000FF"/>
      <name val="MS Sans Serif"/>
    </font>
    <font>
      <u/>
      <sz val="12"/>
      <color rgb="FF0000FF"/>
      <name val="Calibri"/>
      <family val="2"/>
    </font>
    <font>
      <u/>
      <sz val="10"/>
      <color indexed="12"/>
      <name val="MS Sans Serif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0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2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26" fillId="2" borderId="0" applyNumberFormat="0" applyBorder="0" applyAlignment="0" applyProtection="0"/>
    <xf numFmtId="0" fontId="25" fillId="0" borderId="10" applyNumberFormat="0" applyFill="0" applyAlignment="0" applyProtection="0"/>
    <xf numFmtId="0" fontId="24" fillId="0" borderId="1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" fillId="0" borderId="0"/>
    <xf numFmtId="0" fontId="22" fillId="0" borderId="0">
      <alignment wrapText="1"/>
    </xf>
    <xf numFmtId="0" fontId="22" fillId="0" borderId="0">
      <alignment wrapText="1"/>
    </xf>
    <xf numFmtId="0" fontId="2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>
      <alignment wrapText="1"/>
    </xf>
    <xf numFmtId="0" fontId="19" fillId="0" borderId="0"/>
    <xf numFmtId="0" fontId="22" fillId="0" borderId="0"/>
    <xf numFmtId="0" fontId="21" fillId="0" borderId="0"/>
    <xf numFmtId="0" fontId="21" fillId="0" borderId="0"/>
    <xf numFmtId="171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 applyNumberFormat="0" applyBorder="0" applyProtection="0">
      <alignment vertical="center" wrapText="1"/>
    </xf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9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1" fillId="0" borderId="0"/>
    <xf numFmtId="0" fontId="35" fillId="0" borderId="0">
      <alignment vertical="center"/>
    </xf>
    <xf numFmtId="0" fontId="2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Protection="0"/>
    <xf numFmtId="0" fontId="34" fillId="0" borderId="0" applyNumberFormat="0" applyFill="0" applyProtection="0">
      <alignment horizontal="left"/>
    </xf>
    <xf numFmtId="0" fontId="33" fillId="0" borderId="0" applyNumberFormat="0" applyFill="0" applyProtection="0">
      <alignment horizontal="left" vertical="center"/>
    </xf>
    <xf numFmtId="169" fontId="22" fillId="0" borderId="0" applyFont="0" applyFill="0" applyBorder="0" applyAlignment="0" applyProtection="0"/>
    <xf numFmtId="0" fontId="22" fillId="0" borderId="0"/>
    <xf numFmtId="164" fontId="1" fillId="0" borderId="0" applyFont="0" applyFill="0" applyBorder="0" applyAlignment="0" applyProtection="0"/>
    <xf numFmtId="0" fontId="3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>
      <alignment vertical="center"/>
    </xf>
    <xf numFmtId="169" fontId="22" fillId="0" borderId="0" applyFont="0" applyFill="0" applyBorder="0" applyAlignment="0" applyProtection="0"/>
    <xf numFmtId="0" fontId="38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174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2" fillId="0" borderId="0"/>
    <xf numFmtId="173" fontId="22" fillId="0" borderId="0" applyFont="0" applyFill="0" applyBorder="0" applyAlignment="0" applyProtection="0"/>
    <xf numFmtId="0" fontId="1" fillId="0" borderId="0"/>
    <xf numFmtId="0" fontId="22" fillId="0" borderId="0">
      <alignment vertical="center"/>
    </xf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3" fillId="0" borderId="0"/>
    <xf numFmtId="0" fontId="41" fillId="0" borderId="0"/>
    <xf numFmtId="0" fontId="42" fillId="0" borderId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0" applyNumberFormat="1" applyFont="1"/>
    <xf numFmtId="9" fontId="2" fillId="0" borderId="0" xfId="1" applyFont="1"/>
    <xf numFmtId="165" fontId="0" fillId="0" borderId="0" xfId="2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20">
    <cellStyle name="20 % - Akzent1" xfId="25" builtinId="30" customBuiltin="1"/>
    <cellStyle name="20 % - Akzent2" xfId="28" builtinId="34" customBuiltin="1"/>
    <cellStyle name="20 % - Akzent3" xfId="31" builtinId="38" customBuiltin="1"/>
    <cellStyle name="20 % - Akzent4" xfId="34" builtinId="42" customBuiltin="1"/>
    <cellStyle name="20 % - Akzent5" xfId="37" builtinId="46" customBuiltin="1"/>
    <cellStyle name="20 % - Akzent6" xfId="40" builtinId="50" customBuiltin="1"/>
    <cellStyle name="40 % - Akzent1" xfId="26" builtinId="31" customBuiltin="1"/>
    <cellStyle name="40 % - Akzent2" xfId="29" builtinId="35" customBuiltin="1"/>
    <cellStyle name="40 % - Akzent3" xfId="32" builtinId="39" customBuiltin="1"/>
    <cellStyle name="40 % - Akzent4" xfId="35" builtinId="43" customBuiltin="1"/>
    <cellStyle name="40 % - Akzent5" xfId="38" builtinId="47" customBuiltin="1"/>
    <cellStyle name="40 % - Akzent6" xfId="41" builtinId="51" customBuiltin="1"/>
    <cellStyle name="60 % - Akzent1 2" xfId="144" xr:uid="{F721B20A-756A-4CC4-B37A-5EBD5560B215}"/>
    <cellStyle name="60 % - Akzent2 2" xfId="145" xr:uid="{56AE0CAD-0587-4EB7-9161-B7C274102ECF}"/>
    <cellStyle name="60 % - Akzent3 2" xfId="146" xr:uid="{51673907-0BA4-4CD6-AE1E-BE59071D6E07}"/>
    <cellStyle name="60 % - Akzent4 2" xfId="147" xr:uid="{B3749187-BB13-48AB-9EFF-7A90C8B24F41}"/>
    <cellStyle name="60 % - Akzent5 2" xfId="148" xr:uid="{020ABED4-177D-4F66-9FBC-66CE1056C63D}"/>
    <cellStyle name="60 % - Akzent6 2" xfId="149" xr:uid="{C9CFEA21-D235-4246-BFF9-069434C6C277}"/>
    <cellStyle name="Akzent1" xfId="24" builtinId="29" customBuiltin="1"/>
    <cellStyle name="Akzent2" xfId="27" builtinId="33" customBuiltin="1"/>
    <cellStyle name="Akzent3" xfId="30" builtinId="37" customBuiltin="1"/>
    <cellStyle name="Akzent4" xfId="33" builtinId="41" customBuiltin="1"/>
    <cellStyle name="Akzent5" xfId="36" builtinId="45" customBuiltin="1"/>
    <cellStyle name="Akzent6" xfId="39" builtinId="49" customBuiltin="1"/>
    <cellStyle name="Ausgabe" xfId="16" builtinId="21" customBuiltin="1"/>
    <cellStyle name="Berechnung" xfId="17" builtinId="22" customBuiltin="1"/>
    <cellStyle name="Comma 11" xfId="123" xr:uid="{2EE64446-D771-43D8-821D-E4DE51F263EB}"/>
    <cellStyle name="Comma 11 2" xfId="197" xr:uid="{E6BB9F16-6021-431F-A119-97EABD012D58}"/>
    <cellStyle name="Comma 2" xfId="47" xr:uid="{B55A14A6-2471-4485-8CD0-F8C7712EADFE}"/>
    <cellStyle name="Comma 2 10" xfId="178" xr:uid="{ABECFE94-4E37-4A48-8CF2-69CD7803DB78}"/>
    <cellStyle name="Comma 2 2" xfId="48" xr:uid="{4E54D723-DC67-4C6E-8CEF-43F272CF3FA1}"/>
    <cellStyle name="Comma 2 2 2" xfId="179" xr:uid="{F5DF22C7-9170-4AA0-BFF3-5D96C288B847}"/>
    <cellStyle name="Comma 2 3" xfId="49" xr:uid="{6CE969E1-8F91-4325-ABD5-800BC466BF51}"/>
    <cellStyle name="Comma 2 3 2" xfId="50" xr:uid="{A9CFDA8F-44E6-47DE-B6C4-A5ED9859AD38}"/>
    <cellStyle name="Comma 2 3 2 2" xfId="181" xr:uid="{5517047F-1160-4636-BDF0-5847802931EE}"/>
    <cellStyle name="Comma 2 3 3" xfId="180" xr:uid="{8B95DB74-B85E-4C44-B4BE-3F11F10A8A49}"/>
    <cellStyle name="Comma 2 4" xfId="51" xr:uid="{E6686E04-A082-4425-9A95-54445F82E000}"/>
    <cellStyle name="Comma 2 4 2" xfId="182" xr:uid="{69009557-72A0-4387-9395-A77EB12FC45C}"/>
    <cellStyle name="Comma 2 5" xfId="52" xr:uid="{119BD05C-3E5D-40DC-9493-A920100EB4CE}"/>
    <cellStyle name="Comma 2 5 2" xfId="183" xr:uid="{23DEA357-DE29-4B78-958A-7BF53528B38B}"/>
    <cellStyle name="Comma 2 6" xfId="53" xr:uid="{828233B0-D44C-4563-B4D8-97F06DA71C26}"/>
    <cellStyle name="Comma 2 6 2" xfId="184" xr:uid="{CC746833-1044-4E55-ACFF-3EFF6F5C7ACC}"/>
    <cellStyle name="Comma 2 7" xfId="54" xr:uid="{AB723BE2-EA2E-49A9-BA8C-A69EEB5CDBD6}"/>
    <cellStyle name="Comma 2 7 2" xfId="185" xr:uid="{873C9A40-0029-4EC0-BFE2-908D4011131C}"/>
    <cellStyle name="Comma 2 8" xfId="55" xr:uid="{BF1A1C20-6DD1-4235-9413-B8E1A202E4A5}"/>
    <cellStyle name="Comma 2 8 2" xfId="186" xr:uid="{E762B74C-05BF-40CD-A2F7-7B8788FD0178}"/>
    <cellStyle name="Comma 2 9" xfId="56" xr:uid="{1B907645-899E-4A03-9493-57EE9D2A8F5D}"/>
    <cellStyle name="Comma 2 9 2" xfId="187" xr:uid="{3F95FD2F-2B39-4DCC-8F4F-6BEED8FC1728}"/>
    <cellStyle name="Comma 3" xfId="57" xr:uid="{C1DEE2A9-964E-489A-80A6-1FAC1F625659}"/>
    <cellStyle name="Comma 3 2" xfId="58" xr:uid="{64D25416-565E-43F9-98D3-4DE02D4C81AF}"/>
    <cellStyle name="Comma 3 2 2" xfId="189" xr:uid="{55BBD1C6-4AA7-4A05-BFF9-EBBB32F4AD5A}"/>
    <cellStyle name="Comma 3 3" xfId="188" xr:uid="{ADC3AA04-02C7-4F6D-958C-C1D6328C9421}"/>
    <cellStyle name="Comma 4" xfId="59" xr:uid="{89626F95-4F72-4239-BEAD-CDA1E94565C2}"/>
    <cellStyle name="Comma 4 2" xfId="60" xr:uid="{F5B52DC4-03D2-4BC9-96C6-5EDB639482D7}"/>
    <cellStyle name="Comma 4 2 2" xfId="168" xr:uid="{03E6F116-FAC1-42E0-970E-822A4F36DC82}"/>
    <cellStyle name="Comma 4 2 2 2" xfId="215" xr:uid="{8E0C8BB4-E10F-44C2-B1A2-EC737BB0432A}"/>
    <cellStyle name="Comma 4 2 3" xfId="204" xr:uid="{82FB10F6-23CD-4A6A-A051-D45103A7DD8D}"/>
    <cellStyle name="Comma 4 3" xfId="167" xr:uid="{AB2BC153-FF78-4D97-B2AF-45CF2E29D81E}"/>
    <cellStyle name="Comma 4 3 2" xfId="214" xr:uid="{2A0C9F50-BDCA-4366-B13A-8EE960F1174D}"/>
    <cellStyle name="Comma 4 4" xfId="203" xr:uid="{12BC34DC-E4CD-48E8-9B5E-E6ED0A885676}"/>
    <cellStyle name="Comma 5" xfId="61" xr:uid="{4DB614CC-FBB8-4A56-9665-26BB328D6367}"/>
    <cellStyle name="Comma 5 2" xfId="62" xr:uid="{B91057E7-E766-41D9-938E-3E8D429E28A7}"/>
    <cellStyle name="Comma 5 2 2" xfId="191" xr:uid="{3B42E008-D78F-4DA6-9F99-A5B4864DBD8D}"/>
    <cellStyle name="Comma 5 3" xfId="190" xr:uid="{48E32973-4C38-456D-8D19-3830AE507A84}"/>
    <cellStyle name="Comma 6" xfId="63" xr:uid="{437BE27B-C12A-4B53-95D9-9C55D2F1F904}"/>
    <cellStyle name="Comma 6 2" xfId="64" xr:uid="{CB2E3896-A2B2-4DB7-99A3-0E42871546E2}"/>
    <cellStyle name="Comma 6 2 2" xfId="193" xr:uid="{71D97CEF-C45F-464A-87A6-FFE40FD46BC1}"/>
    <cellStyle name="Comma 6 3" xfId="65" xr:uid="{72EDE547-11FC-4DC9-B98E-55182368BEE6}"/>
    <cellStyle name="Comma 6 3 2" xfId="194" xr:uid="{81584AF9-FD80-4168-859F-4349DCBE2E8B}"/>
    <cellStyle name="Comma 6 4" xfId="192" xr:uid="{7A56F846-5E4D-4B90-9145-09D3C6CCEC71}"/>
    <cellStyle name="Comma 7" xfId="66" xr:uid="{733156E0-95CE-4245-9B08-329E663D431E}"/>
    <cellStyle name="Comma 7 2" xfId="195" xr:uid="{DD29F182-3080-4B20-8C37-4B45826A74F4}"/>
    <cellStyle name="Comma 8" xfId="67" xr:uid="{BD82616F-9F54-42AA-9AEA-B25976967EF0}"/>
    <cellStyle name="Comma 8 2" xfId="196" xr:uid="{29F715BF-0C61-4F0F-A420-2C6A2BDBA982}"/>
    <cellStyle name="Eingabe" xfId="15" builtinId="20" customBuiltin="1"/>
    <cellStyle name="Ergebnis" xfId="23" builtinId="25" customBuiltin="1"/>
    <cellStyle name="Erklärender Text" xfId="22" builtinId="53" customBuiltin="1"/>
    <cellStyle name="Good 2" xfId="68" xr:uid="{672EB5CD-D87E-400E-BDE9-46FA85290EBE}"/>
    <cellStyle name="Gut" xfId="13" builtinId="26" customBuiltin="1"/>
    <cellStyle name="Heading 1 2" xfId="69" xr:uid="{26BDB23A-8FB0-43D8-B479-3B1B8A608552}"/>
    <cellStyle name="Heading 2 2" xfId="70" xr:uid="{C43B9E13-543C-4A42-A73D-45D3A59D93C0}"/>
    <cellStyle name="Hyperlink 2" xfId="72" xr:uid="{E5CD7A9E-84F5-455D-B3FE-0926FBCED4D5}"/>
    <cellStyle name="Hyperlink 2 2" xfId="130" xr:uid="{0F247F62-E4D0-4471-87FF-7014905F6F84}"/>
    <cellStyle name="Hyperlink 2 3" xfId="122" xr:uid="{BA483D0D-3B97-4B32-9F93-5F5687ADBC8C}"/>
    <cellStyle name="Hyperlink 2 3 2" xfId="124" xr:uid="{49DE61CE-9F53-48A9-A012-0DF077375807}"/>
    <cellStyle name="Hyperlink 3" xfId="73" xr:uid="{84FF4916-558F-4E9A-AA78-BC2467F3100C}"/>
    <cellStyle name="Komma 2" xfId="2" xr:uid="{AF1FA308-5BB0-4765-9052-001723E4E16E}"/>
    <cellStyle name="Komma 2 2" xfId="6" xr:uid="{546B1FA4-ED3D-4CCF-BFB1-6934F261636D}"/>
    <cellStyle name="Komma 2 2 2" xfId="7" xr:uid="{C0449768-2484-446A-AB6E-F20247C009BA}"/>
    <cellStyle name="Komma 2 2 2 2" xfId="44" xr:uid="{18D798FA-7F1A-4F93-B20B-911650645CA2}"/>
    <cellStyle name="Komma 2 2 2 2 2" xfId="140" xr:uid="{E93DA5EB-C224-4809-8B49-8910737CC38A}"/>
    <cellStyle name="Komma 2 2 2 2 2 2" xfId="172" xr:uid="{55155B22-7715-49EF-BE2B-AAB4503F3B3F}"/>
    <cellStyle name="Komma 2 2 2 2 2 2 2" xfId="219" xr:uid="{D31855F7-5993-4FB5-A55A-84F6032C14D9}"/>
    <cellStyle name="Komma 2 2 2 2 2 3" xfId="208" xr:uid="{4567F919-F378-4BDD-8F21-3426CF77F4E2}"/>
    <cellStyle name="Komma 2 2 2 2 3" xfId="166" xr:uid="{77138178-9EB4-4D3A-81C4-157BCB2ECBA7}"/>
    <cellStyle name="Komma 2 2 2 2 3 2" xfId="213" xr:uid="{9EDF41B0-CB98-4D13-A984-1FAF809ABE1D}"/>
    <cellStyle name="Komma 2 2 2 2 4" xfId="202" xr:uid="{E89CD00F-AC92-4DEB-8589-99A6AA237BA7}"/>
    <cellStyle name="Komma 2 2 2 3" xfId="138" xr:uid="{42BF8BC4-4B1E-4DF1-8612-ED2FEBE6E6A3}"/>
    <cellStyle name="Komma 2 2 2 3 2" xfId="170" xr:uid="{1471223B-943C-489A-A821-363474BC2E6A}"/>
    <cellStyle name="Komma 2 2 2 3 2 2" xfId="217" xr:uid="{666C2D14-C525-4016-9D67-0980BED4B6F7}"/>
    <cellStyle name="Komma 2 2 2 3 3" xfId="206" xr:uid="{4587D101-EC39-458F-8474-9851593CD292}"/>
    <cellStyle name="Komma 2 2 2 4" xfId="164" xr:uid="{AD119CC4-5645-42BB-889F-F9BBF3756EB8}"/>
    <cellStyle name="Komma 2 2 2 4 2" xfId="211" xr:uid="{2EFE1B98-0725-498C-B02E-BC0BF37F00EB}"/>
    <cellStyle name="Komma 2 2 2 5" xfId="200" xr:uid="{EA6F7714-12FF-4A68-AB67-EF36F083EC87}"/>
    <cellStyle name="Komma 2 2 3" xfId="151" xr:uid="{CCB6D173-6DFE-4129-99BA-5B5202A9EA17}"/>
    <cellStyle name="Komma 2 2 3 2" xfId="176" xr:uid="{2039EDE6-F317-438A-A054-B6811CB65C96}"/>
    <cellStyle name="Komma 2 2 4" xfId="42" xr:uid="{C0F8BE57-5C96-4272-8B00-824767E8F443}"/>
    <cellStyle name="Komma 2 3" xfId="43" xr:uid="{394B8D30-591F-469C-A840-A1955DE0F4A9}"/>
    <cellStyle name="Komma 2 3 2" xfId="139" xr:uid="{33CAB36C-0D6D-47D6-B35D-D33CABC1C1B5}"/>
    <cellStyle name="Komma 2 3 2 2" xfId="171" xr:uid="{BA83086B-5304-4C99-B17A-F93C784831DC}"/>
    <cellStyle name="Komma 2 3 2 2 2" xfId="218" xr:uid="{9645A9C0-98A2-47AD-BA68-5F06CDEB994B}"/>
    <cellStyle name="Komma 2 3 2 3" xfId="207" xr:uid="{8F2E59D4-2D12-48EF-8BC3-AA1BF219864F}"/>
    <cellStyle name="Komma 2 3 3" xfId="152" xr:uid="{71264599-37D9-42A2-B46E-330B81801A7C}"/>
    <cellStyle name="Komma 2 3 4" xfId="165" xr:uid="{06D667C0-6728-426B-AC25-20709B016267}"/>
    <cellStyle name="Komma 2 3 4 2" xfId="212" xr:uid="{56A8EC64-A318-4BD9-AA64-21B530AFDE11}"/>
    <cellStyle name="Komma 2 3 5" xfId="201" xr:uid="{ADB59E9E-80D1-4B3A-8CE4-5179D9D2EE96}"/>
    <cellStyle name="Komma 2 4" xfId="136" xr:uid="{E6AD9A83-010D-4D6A-92F6-0D9AFFA0E21A}"/>
    <cellStyle name="Komma 2 4 2" xfId="169" xr:uid="{82165464-90A9-4045-9871-0C1AF539EC9F}"/>
    <cellStyle name="Komma 2 4 2 2" xfId="216" xr:uid="{41C8AD0A-A5E4-4837-946B-EBFD199D4923}"/>
    <cellStyle name="Komma 2 4 3" xfId="205" xr:uid="{D471F29D-A5F9-40BC-BD10-20CB333E1817}"/>
    <cellStyle name="Komma 2 5" xfId="142" xr:uid="{E01D2154-374A-4019-8D25-97F64E439B96}"/>
    <cellStyle name="Komma 2 6" xfId="163" xr:uid="{16B8A41C-9507-4D93-8E50-259F04FACD9C}"/>
    <cellStyle name="Komma 2 6 2" xfId="210" xr:uid="{111EE43B-BC73-42FA-A41E-8FC1DCF2C0BE}"/>
    <cellStyle name="Komma 2 7" xfId="199" xr:uid="{F03F02E0-4F46-4DFC-A8D4-4E7562005119}"/>
    <cellStyle name="Komma 3" xfId="46" xr:uid="{CE16E985-2B7D-4689-9BD1-5B3B4D5331DB}"/>
    <cellStyle name="Komma 3 2" xfId="150" xr:uid="{20DC581E-E80D-4312-BADB-B4BFCE33F326}"/>
    <cellStyle name="Komma 3 2 2" xfId="177" xr:uid="{BCA46AB2-1363-43F0-951D-F5629A761F62}"/>
    <cellStyle name="Komma 4" xfId="134" xr:uid="{31313545-D8C6-4FE2-8DC6-ED90742260E8}"/>
    <cellStyle name="Komma 4 2" xfId="154" xr:uid="{23ABFB76-CC96-4E0C-BA12-BD431A1DAABA}"/>
    <cellStyle name="Komma 4 2 2" xfId="198" xr:uid="{39EF3C26-4902-440A-81C5-FC7258129264}"/>
    <cellStyle name="Komma 4 2 3" xfId="209" xr:uid="{C1A2C016-9346-4237-9360-2FED7D5B7457}"/>
    <cellStyle name="Komma 5" xfId="156" xr:uid="{8109DDE6-CFE8-461B-A0F8-6ECA520528AC}"/>
    <cellStyle name="Link 2" xfId="71" xr:uid="{E7F21743-A1DA-46CD-86D6-3319BC2FB170}"/>
    <cellStyle name="Link 2 2" xfId="157" xr:uid="{154DFD16-E935-4E7F-8EC8-039B1E88462E}"/>
    <cellStyle name="Neutral 2" xfId="143" xr:uid="{674C19A2-56CC-4212-A574-36B25528EC5B}"/>
    <cellStyle name="Normal 10" xfId="74" xr:uid="{1FE9F05C-0A94-442D-ACB4-143EFA586288}"/>
    <cellStyle name="Normal 11" xfId="75" xr:uid="{9EB93C82-0241-40B6-80D6-F6A802A83E24}"/>
    <cellStyle name="Normal 12" xfId="76" xr:uid="{78F9A7FB-75F9-4AF6-A330-EFC45DAB2C13}"/>
    <cellStyle name="Normal 13" xfId="77" xr:uid="{0FF5C48C-0D5A-4D10-9612-95EB1B149A16}"/>
    <cellStyle name="Normal 14" xfId="78" xr:uid="{67F4D022-47B3-4E7A-84D1-0D8EAA8A5785}"/>
    <cellStyle name="Normal 15" xfId="79" xr:uid="{DF476445-29DF-4E96-9918-DF15DFF9FDA5}"/>
    <cellStyle name="Normal 16" xfId="80" xr:uid="{3F3CBDD3-6540-410F-897C-88D5CFC0869C}"/>
    <cellStyle name="Normal 17" xfId="81" xr:uid="{0601133B-585F-4DAB-90D2-F5E9B9D74F76}"/>
    <cellStyle name="Normal 17 2" xfId="82" xr:uid="{A82920BE-A1E4-4ABA-B42B-B78633443183}"/>
    <cellStyle name="Normal 2" xfId="4" xr:uid="{098744FE-9844-4518-A91E-00A8F4258A86}"/>
    <cellStyle name="Normal 2 2" xfId="5" xr:uid="{FCD300CD-8039-44DF-B12D-F1531F7C3F26}"/>
    <cellStyle name="Normal 2 2 2" xfId="84" xr:uid="{4CE2EBFC-C31B-4B26-B4A7-33D07C2D8068}"/>
    <cellStyle name="Normal 2 3" xfId="85" xr:uid="{1C023FE2-B258-4681-A928-AA2B9F47B478}"/>
    <cellStyle name="Normal 2 4" xfId="86" xr:uid="{898FCABC-1735-4092-9F02-F8F60386F34B}"/>
    <cellStyle name="Normal 2 5" xfId="83" xr:uid="{8EB1542C-9108-468E-BDFF-51101272A59D}"/>
    <cellStyle name="Normal 2 6" xfId="129" xr:uid="{35F7822F-1671-430C-A015-B436FCB18373}"/>
    <cellStyle name="Normal 3" xfId="3" xr:uid="{FA51F745-E432-4830-B289-30C69457E580}"/>
    <cellStyle name="Normal 3 2" xfId="88" xr:uid="{00D83130-890E-41B0-997E-8CCE64F56E1A}"/>
    <cellStyle name="Normal 3 2 2" xfId="89" xr:uid="{9A4F7FD2-B4E6-4B66-972A-82978A10F3BF}"/>
    <cellStyle name="Normal 3 3" xfId="90" xr:uid="{034054A0-51C5-49DC-8A53-1AD0817F0EC7}"/>
    <cellStyle name="Normal 3 4" xfId="91" xr:uid="{FCE7B675-D625-4644-9DE8-85DFE0346BDF}"/>
    <cellStyle name="Normal 3 5" xfId="87" xr:uid="{CA4962D3-EDEE-4C30-B4D4-18DD50BA4972}"/>
    <cellStyle name="Normal 4" xfId="92" xr:uid="{5F03DD89-73E5-4C19-8A29-C647C5410F28}"/>
    <cellStyle name="Normal 4 2" xfId="93" xr:uid="{506FE9D6-92C4-49F4-BB8D-D157EE56469E}"/>
    <cellStyle name="Normal 4 2 2" xfId="94" xr:uid="{588019F8-B378-4FFE-A283-D7077D29CE0B}"/>
    <cellStyle name="Normal 4 3" xfId="95" xr:uid="{4EAEE568-6984-471E-A5C1-D5C67A79C4F6}"/>
    <cellStyle name="Normal 4 3 2" xfId="127" xr:uid="{D592EFB9-8C80-43AA-83C3-C36B8C8E80A1}"/>
    <cellStyle name="Normal 4 4" xfId="96" xr:uid="{D2260F53-184B-424A-B6BF-9416045D6C48}"/>
    <cellStyle name="Normal 4 5" xfId="128" xr:uid="{C0D2F600-1080-4D8A-B890-4086AC86DF6A}"/>
    <cellStyle name="Normal 5" xfId="97" xr:uid="{494D6ECF-54FA-4907-9540-30B57914A35F}"/>
    <cellStyle name="Normal 5 2" xfId="98" xr:uid="{97C6AD2B-838E-4140-9DED-ED7323CE3DBF}"/>
    <cellStyle name="Normal 6" xfId="99" xr:uid="{46E378B0-7A2A-4694-BE05-DB3E6877D397}"/>
    <cellStyle name="Normal 6 2" xfId="100" xr:uid="{77F47EAB-9CE2-4468-81B7-F205F83100DC}"/>
    <cellStyle name="Normal 7" xfId="101" xr:uid="{4CEBBC19-62FB-41D9-8E7D-A65C0FFD9EFF}"/>
    <cellStyle name="Normal 7 2" xfId="102" xr:uid="{99654ECA-5AC3-4E12-9B6A-427A7B7F2441}"/>
    <cellStyle name="Normal 8" xfId="103" xr:uid="{E12AEABC-9130-49EF-9E2D-3FBCF551768D}"/>
    <cellStyle name="Normal 8 2" xfId="104" xr:uid="{75650E53-7267-4665-A8A0-73DAA3C0D99C}"/>
    <cellStyle name="Normal 8 3" xfId="105" xr:uid="{F00AC212-906A-491B-AC16-09C6B65AF83E}"/>
    <cellStyle name="Normal 8 4" xfId="106" xr:uid="{6E5C3DA9-3758-4904-8B9A-90F0425F08B4}"/>
    <cellStyle name="Normal 8 5" xfId="126" xr:uid="{D99C6344-D29C-48C5-B533-413CBD99939A}"/>
    <cellStyle name="Normal 9" xfId="107" xr:uid="{61E254C4-FB15-4EEF-A864-310B6A072C7A}"/>
    <cellStyle name="Normal 9 2" xfId="108" xr:uid="{54134090-287C-4A1C-8401-C273BAB894F7}"/>
    <cellStyle name="Normal 9 3" xfId="109" xr:uid="{AEBB4AE6-0D0D-48A3-949D-124F37CE01DE}"/>
    <cellStyle name="Notiz" xfId="21" builtinId="10" customBuiltin="1"/>
    <cellStyle name="Notiz 2" xfId="162" xr:uid="{98722DFC-3324-4A5D-848D-060A2038D2A8}"/>
    <cellStyle name="Percent 2" xfId="111" xr:uid="{60BE7088-8FA1-4A31-A07C-77659755328D}"/>
    <cellStyle name="Percent 3" xfId="112" xr:uid="{62FC2017-FBD7-456C-B275-64D96A377CE9}"/>
    <cellStyle name="Percent 3 2" xfId="113" xr:uid="{F3384BEA-AE65-47A6-A6EA-EA96162F149A}"/>
    <cellStyle name="Percent 4" xfId="114" xr:uid="{7FB1C352-171E-41DC-B138-79F5FEAC8BB5}"/>
    <cellStyle name="Percent 4 2" xfId="115" xr:uid="{5C155ED6-D882-4C97-ABF4-776A6DA9F0DC}"/>
    <cellStyle name="Percent 5" xfId="116" xr:uid="{96A6BCDA-76BA-473C-B59A-7C7098911727}"/>
    <cellStyle name="Percent 5 2" xfId="117" xr:uid="{7FA4AE51-803C-45A7-B34C-F5E6B4E57761}"/>
    <cellStyle name="Percent 6" xfId="118" xr:uid="{31D7CDCB-BBED-4358-9F81-FFD616C53E73}"/>
    <cellStyle name="Percent 6 2" xfId="119" xr:uid="{74487407-798C-48B1-A8CD-F7D72BFF8591}"/>
    <cellStyle name="Percent 6 3" xfId="120" xr:uid="{7C1678B0-5B41-4F57-976A-F48374698C01}"/>
    <cellStyle name="Percent 7" xfId="121" xr:uid="{41D57D1B-7538-4D92-B77A-019BD8FBC833}"/>
    <cellStyle name="Prozent" xfId="1" builtinId="5"/>
    <cellStyle name="Prozent 2" xfId="110" xr:uid="{CD8FDB42-4EDB-42E7-8D30-1C45EE7592C8}"/>
    <cellStyle name="Prozent 3" xfId="125" xr:uid="{6A7D07F7-AD57-42F0-89A7-934DAFE65074}"/>
    <cellStyle name="Schlecht" xfId="14" builtinId="27" customBuiltin="1"/>
    <cellStyle name="Standard" xfId="0" builtinId="0"/>
    <cellStyle name="Standard 2" xfId="45" xr:uid="{17BB8C5F-1C02-41D3-B88C-37177BB67000}"/>
    <cellStyle name="Standard 2 2" xfId="161" xr:uid="{35A7FB1E-6FB6-4F54-ACE2-9B7400693218}"/>
    <cellStyle name="Standard 2 2 2" xfId="174" xr:uid="{126A4EBB-44D3-452C-8EEA-7DCC80F1A1BA}"/>
    <cellStyle name="Standard 2 3" xfId="158" xr:uid="{ABAD88F1-F772-4CC5-9A79-24689E4BA654}"/>
    <cellStyle name="Standard 2 4" xfId="141" xr:uid="{CA9ED3DA-37EB-4F2E-B3C4-F1253B85B84E}"/>
    <cellStyle name="Standard 3" xfId="135" xr:uid="{3AEBD0E5-8F4D-42F3-85E9-7410F5208FA1}"/>
    <cellStyle name="Standard 3 2" xfId="160" xr:uid="{53EBA374-9B5C-44C6-8D9A-6465FADF55D2}"/>
    <cellStyle name="Standard 3 2 2" xfId="175" xr:uid="{5FEABFB5-E55D-4625-BC7C-70D198F9F561}"/>
    <cellStyle name="Standard 4" xfId="137" xr:uid="{5C84D748-07C0-41BE-825F-35D4A000A6CC}"/>
    <cellStyle name="Standard 4 2" xfId="155" xr:uid="{C849C285-3466-4C99-9F63-A5FB1EE69D7D}"/>
    <cellStyle name="Standard 5" xfId="173" xr:uid="{CEEBDC4C-3513-4580-844D-7E71E022B6A2}"/>
    <cellStyle name="Überschrift" xfId="8" builtinId="15" customBuiltin="1"/>
    <cellStyle name="Überschrift 1" xfId="9" builtinId="16" customBuiltin="1"/>
    <cellStyle name="Überschrift 1 2" xfId="133" xr:uid="{EBCB0011-2750-45CA-8411-A3DC47ECFF50}"/>
    <cellStyle name="Überschrift 2" xfId="10" builtinId="17" customBuiltin="1"/>
    <cellStyle name="Überschrift 2 2" xfId="132" xr:uid="{38732EFD-5864-4641-812E-CD3D41689552}"/>
    <cellStyle name="Überschrift 3" xfId="11" builtinId="18" customBuiltin="1"/>
    <cellStyle name="Überschrift 3 2" xfId="131" xr:uid="{BE96937C-E919-46F1-96A8-3BF4E74D266A}"/>
    <cellStyle name="Überschrift 4" xfId="12" builtinId="19" customBuiltin="1"/>
    <cellStyle name="Überschrift 5" xfId="153" xr:uid="{AF711682-A6D8-4DCA-A02E-6A1667B839DA}"/>
    <cellStyle name="Verknüpfte Zelle" xfId="18" builtinId="24" customBuiltin="1"/>
    <cellStyle name="Währung 2" xfId="159" xr:uid="{C38DEFDF-604C-4CDF-B56C-9BB275FA0135}"/>
    <cellStyle name="Warnender Text" xfId="20" builtinId="11" customBuiltin="1"/>
    <cellStyle name="Zelle überprüfen" xfId="19" builtinId="23" customBuiltin="1"/>
  </cellStyles>
  <dxfs count="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A8198BE0-7EDE-4D78-BA25-EBD3A883C9B0}"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E75-70D6-4C19-A2E6-F011C88AB99E}">
  <dimension ref="A4:W25"/>
  <sheetViews>
    <sheetView workbookViewId="0">
      <selection activeCell="E14" sqref="E14"/>
    </sheetView>
  </sheetViews>
  <sheetFormatPr baseColWidth="10" defaultColWidth="9.140625" defaultRowHeight="15" x14ac:dyDescent="0.25"/>
  <cols>
    <col min="12" max="12" width="7.85546875" bestFit="1" customWidth="1"/>
  </cols>
  <sheetData>
    <row r="4" spans="2:23" x14ac:dyDescent="0.25">
      <c r="B4" t="s">
        <v>0</v>
      </c>
      <c r="D4" t="s">
        <v>1</v>
      </c>
      <c r="E4" t="s">
        <v>2</v>
      </c>
      <c r="F4" t="s">
        <v>3</v>
      </c>
      <c r="G4" t="s">
        <v>4</v>
      </c>
    </row>
    <row r="5" spans="2:23" x14ac:dyDescent="0.25">
      <c r="C5">
        <v>2015</v>
      </c>
      <c r="D5" s="17">
        <v>7.48245</v>
      </c>
      <c r="E5" s="31">
        <v>1.6</v>
      </c>
      <c r="F5" s="18">
        <v>11.160609780067686</v>
      </c>
      <c r="G5" s="19">
        <v>28.031976736534158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3"/>
      <c r="W5" s="13"/>
    </row>
    <row r="6" spans="2:23" x14ac:dyDescent="0.25">
      <c r="C6">
        <v>2016</v>
      </c>
      <c r="D6" s="17">
        <v>7.3157870000000003</v>
      </c>
      <c r="E6" s="31">
        <v>1.5920000000000001</v>
      </c>
      <c r="F6" s="18">
        <v>10.329338956762609</v>
      </c>
      <c r="G6" s="19">
        <v>16.590988714347898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3"/>
      <c r="W6" s="13"/>
    </row>
    <row r="7" spans="2:23" x14ac:dyDescent="0.25">
      <c r="C7">
        <v>2017</v>
      </c>
      <c r="D7" s="17">
        <v>6.7419599999999997</v>
      </c>
      <c r="E7" s="31">
        <v>1.552</v>
      </c>
      <c r="F7" s="18">
        <v>16.083160972245885</v>
      </c>
      <c r="G7" s="19">
        <v>21.072934284213474</v>
      </c>
      <c r="L7" s="7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2:23" x14ac:dyDescent="0.25">
      <c r="C8">
        <v>2018</v>
      </c>
      <c r="D8" s="17">
        <v>6.2107089999999996</v>
      </c>
      <c r="E8" s="31">
        <v>1.5696000000000001</v>
      </c>
      <c r="F8" s="18">
        <v>16.188288763606685</v>
      </c>
      <c r="G8" s="19">
        <v>27.089494805374269</v>
      </c>
      <c r="L8" s="11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2:23" x14ac:dyDescent="0.25">
      <c r="C9">
        <v>2019</v>
      </c>
      <c r="D9" s="17">
        <v>6.2263010000000003</v>
      </c>
      <c r="E9" s="31">
        <v>1.6544000000000001</v>
      </c>
      <c r="F9" s="18">
        <v>14.739737233073509</v>
      </c>
      <c r="G9" s="19">
        <v>15.773452185230996</v>
      </c>
      <c r="L9" s="11"/>
      <c r="M9" s="11"/>
      <c r="N9" s="11"/>
      <c r="O9" s="11"/>
      <c r="P9" s="8"/>
      <c r="Q9" s="8"/>
      <c r="R9" s="8"/>
      <c r="S9" s="8"/>
      <c r="T9" s="8"/>
    </row>
    <row r="10" spans="2:23" x14ac:dyDescent="0.25">
      <c r="C10">
        <v>2020</v>
      </c>
      <c r="D10" s="17">
        <v>5.6510999999999996</v>
      </c>
      <c r="E10" s="31">
        <v>1.6704000000000001</v>
      </c>
      <c r="F10" s="18">
        <v>11.212981450128206</v>
      </c>
      <c r="G10" s="19">
        <v>10.938940859092444</v>
      </c>
      <c r="L10" s="11"/>
      <c r="M10" s="11"/>
      <c r="N10" s="11"/>
      <c r="O10" s="11"/>
    </row>
    <row r="11" spans="2:23" x14ac:dyDescent="0.25">
      <c r="C11">
        <v>2021</v>
      </c>
      <c r="D11" s="17">
        <v>5.0228640000000002</v>
      </c>
      <c r="E11" s="31">
        <v>1.7103999999999999</v>
      </c>
      <c r="F11" s="18">
        <v>15.451166365313155</v>
      </c>
      <c r="G11" s="19">
        <v>44.332586408979495</v>
      </c>
      <c r="L11" s="11"/>
      <c r="M11" s="11"/>
      <c r="N11" s="11"/>
      <c r="O11" s="11"/>
    </row>
    <row r="12" spans="2:23" x14ac:dyDescent="0.25">
      <c r="C12">
        <v>2022</v>
      </c>
      <c r="D12" s="17">
        <v>5.1063330000000002</v>
      </c>
      <c r="E12" s="31">
        <v>1.8016000000000001</v>
      </c>
      <c r="F12" s="18">
        <v>39.10223304392759</v>
      </c>
      <c r="G12" s="19">
        <v>127.75188647582918</v>
      </c>
      <c r="L12" s="11"/>
      <c r="M12" s="11"/>
      <c r="N12" s="11"/>
      <c r="O12" s="11"/>
    </row>
    <row r="13" spans="2:23" x14ac:dyDescent="0.25">
      <c r="C13">
        <v>2023</v>
      </c>
      <c r="D13" s="17">
        <v>4.7392697139999997</v>
      </c>
      <c r="E13" s="31">
        <v>2.2416</v>
      </c>
      <c r="F13" s="18">
        <v>26.067954336232035</v>
      </c>
      <c r="G13" s="19">
        <v>41.409314312945376</v>
      </c>
      <c r="L13" s="11"/>
      <c r="M13" s="11"/>
      <c r="N13" s="11"/>
      <c r="O13" s="11"/>
    </row>
    <row r="14" spans="2:23" x14ac:dyDescent="0.25">
      <c r="C14">
        <v>2024</v>
      </c>
      <c r="D14" s="17">
        <v>4.25529007</v>
      </c>
      <c r="E14" s="31">
        <v>2.6816</v>
      </c>
      <c r="F14" s="18">
        <v>21.9</v>
      </c>
      <c r="G14" s="19">
        <v>35.985833333333332</v>
      </c>
      <c r="L14" s="11"/>
      <c r="M14" s="11"/>
      <c r="N14" s="11"/>
      <c r="O14" s="11"/>
    </row>
    <row r="15" spans="2:23" x14ac:dyDescent="0.25">
      <c r="L15" s="11"/>
      <c r="M15" s="11"/>
      <c r="N15" s="11"/>
      <c r="O15" s="11"/>
    </row>
    <row r="17" spans="1:15" x14ac:dyDescent="0.25">
      <c r="L17" s="11"/>
      <c r="M17" s="11"/>
      <c r="N17" s="11"/>
      <c r="O17" s="11"/>
    </row>
    <row r="18" spans="1:15" x14ac:dyDescent="0.25">
      <c r="L18" s="11"/>
      <c r="M18" s="11"/>
      <c r="N18" s="11"/>
      <c r="O18" s="11"/>
    </row>
    <row r="19" spans="1:15" x14ac:dyDescent="0.25">
      <c r="L19" s="11"/>
      <c r="M19" s="11"/>
      <c r="N19" s="11"/>
      <c r="O19" s="11"/>
    </row>
    <row r="20" spans="1:15" x14ac:dyDescent="0.25">
      <c r="L20" s="11"/>
      <c r="M20" s="11"/>
      <c r="N20" s="11"/>
      <c r="O20" s="11"/>
    </row>
    <row r="21" spans="1:15" x14ac:dyDescent="0.25">
      <c r="A21" t="s">
        <v>38</v>
      </c>
      <c r="L21" s="11"/>
      <c r="M21" s="11"/>
      <c r="N21" s="11"/>
      <c r="O21" s="11"/>
    </row>
    <row r="22" spans="1:15" x14ac:dyDescent="0.25">
      <c r="B22" t="s">
        <v>2</v>
      </c>
      <c r="C22">
        <v>0.38300000000000001</v>
      </c>
      <c r="L22" s="11"/>
      <c r="M22" s="11"/>
      <c r="N22" s="11"/>
      <c r="O22" s="11"/>
    </row>
    <row r="23" spans="1:15" x14ac:dyDescent="0.25">
      <c r="B23" t="s">
        <v>3</v>
      </c>
      <c r="C23">
        <v>0.33500000000000002</v>
      </c>
      <c r="L23" s="11"/>
      <c r="M23" s="11"/>
      <c r="N23" s="11"/>
      <c r="O23" s="11"/>
    </row>
    <row r="24" spans="1:15" x14ac:dyDescent="0.25">
      <c r="B24" t="s">
        <v>4</v>
      </c>
      <c r="C24">
        <v>0.20100000000000001</v>
      </c>
      <c r="L24" s="11"/>
      <c r="M24" s="11"/>
      <c r="N24" s="11"/>
      <c r="O24" s="11"/>
    </row>
    <row r="25" spans="1:15" x14ac:dyDescent="0.25">
      <c r="B25" t="s">
        <v>39</v>
      </c>
      <c r="C25">
        <v>0.26600000000000001</v>
      </c>
      <c r="L25" s="11"/>
      <c r="M25" s="11"/>
      <c r="N25" s="11"/>
      <c r="O2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AEC9-DD1D-41D4-AC07-D33C8D8DB1ED}">
  <dimension ref="A4:I18"/>
  <sheetViews>
    <sheetView tabSelected="1" workbookViewId="0">
      <selection activeCell="M13" sqref="M13"/>
    </sheetView>
  </sheetViews>
  <sheetFormatPr baseColWidth="10" defaultColWidth="9.140625" defaultRowHeight="15" x14ac:dyDescent="0.25"/>
  <sheetData>
    <row r="4" spans="1:9" x14ac:dyDescent="0.25">
      <c r="A4" t="s">
        <v>0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B5">
        <v>2015</v>
      </c>
      <c r="C5">
        <v>0</v>
      </c>
      <c r="D5">
        <v>0</v>
      </c>
      <c r="E5">
        <v>0</v>
      </c>
      <c r="F5" s="38">
        <v>21.240000000000002</v>
      </c>
      <c r="G5">
        <v>0</v>
      </c>
      <c r="H5">
        <v>0</v>
      </c>
      <c r="I5">
        <v>0</v>
      </c>
    </row>
    <row r="6" spans="1:9" x14ac:dyDescent="0.25">
      <c r="B6">
        <v>2016</v>
      </c>
      <c r="C6">
        <v>0</v>
      </c>
      <c r="D6">
        <v>0</v>
      </c>
      <c r="E6">
        <v>0</v>
      </c>
      <c r="F6" s="38">
        <v>21.240000000000002</v>
      </c>
      <c r="G6">
        <v>0</v>
      </c>
      <c r="H6">
        <v>0</v>
      </c>
      <c r="I6">
        <v>0</v>
      </c>
    </row>
    <row r="7" spans="1:9" x14ac:dyDescent="0.25">
      <c r="B7">
        <v>2017</v>
      </c>
      <c r="C7">
        <v>0</v>
      </c>
      <c r="D7">
        <v>0</v>
      </c>
      <c r="E7">
        <v>0</v>
      </c>
      <c r="F7" s="38">
        <v>21.240000000000002</v>
      </c>
      <c r="G7">
        <v>0</v>
      </c>
      <c r="H7">
        <v>0</v>
      </c>
      <c r="I7">
        <v>0</v>
      </c>
    </row>
    <row r="8" spans="1:9" x14ac:dyDescent="0.25">
      <c r="B8">
        <v>2018</v>
      </c>
      <c r="C8">
        <v>0</v>
      </c>
      <c r="D8">
        <v>0</v>
      </c>
      <c r="E8">
        <v>0</v>
      </c>
      <c r="F8" s="38">
        <v>21.240000000000002</v>
      </c>
      <c r="G8">
        <v>0</v>
      </c>
      <c r="H8">
        <v>0</v>
      </c>
      <c r="I8">
        <v>0</v>
      </c>
    </row>
    <row r="9" spans="1:9" x14ac:dyDescent="0.25">
      <c r="B9">
        <v>2019</v>
      </c>
      <c r="C9">
        <v>0</v>
      </c>
      <c r="D9">
        <v>0</v>
      </c>
      <c r="E9">
        <v>0</v>
      </c>
      <c r="F9" s="38">
        <v>21.240000000000002</v>
      </c>
      <c r="G9">
        <v>0</v>
      </c>
      <c r="H9">
        <v>0</v>
      </c>
      <c r="I9">
        <v>0</v>
      </c>
    </row>
    <row r="10" spans="1:9" x14ac:dyDescent="0.25">
      <c r="B10">
        <v>2020</v>
      </c>
      <c r="C10">
        <v>0</v>
      </c>
      <c r="D10">
        <v>0</v>
      </c>
      <c r="E10">
        <v>0</v>
      </c>
      <c r="F10" s="38">
        <v>21.240000000000002</v>
      </c>
      <c r="G10">
        <v>0</v>
      </c>
      <c r="H10">
        <v>0</v>
      </c>
      <c r="I10">
        <v>0</v>
      </c>
    </row>
    <row r="11" spans="1:9" x14ac:dyDescent="0.25">
      <c r="B11">
        <v>2021</v>
      </c>
      <c r="C11">
        <v>0</v>
      </c>
      <c r="D11">
        <v>0</v>
      </c>
      <c r="E11">
        <v>0</v>
      </c>
      <c r="F11" s="38">
        <v>21.240000000000002</v>
      </c>
      <c r="G11">
        <v>0</v>
      </c>
      <c r="H11">
        <v>0</v>
      </c>
      <c r="I11">
        <v>0</v>
      </c>
    </row>
    <row r="12" spans="1:9" x14ac:dyDescent="0.25">
      <c r="B12">
        <v>2022</v>
      </c>
      <c r="C12">
        <v>0</v>
      </c>
      <c r="D12">
        <v>0</v>
      </c>
      <c r="E12">
        <v>0</v>
      </c>
      <c r="F12" s="38">
        <v>21.240000000000002</v>
      </c>
      <c r="G12">
        <v>0</v>
      </c>
      <c r="H12">
        <v>0</v>
      </c>
      <c r="I12">
        <v>0</v>
      </c>
    </row>
    <row r="13" spans="1:9" x14ac:dyDescent="0.25">
      <c r="B13">
        <v>2023</v>
      </c>
      <c r="C13">
        <v>0</v>
      </c>
      <c r="D13">
        <v>0</v>
      </c>
      <c r="E13">
        <v>0</v>
      </c>
      <c r="F13" s="38">
        <v>21.240000000000002</v>
      </c>
      <c r="G13">
        <v>0</v>
      </c>
      <c r="H13">
        <v>0</v>
      </c>
      <c r="I13">
        <v>0</v>
      </c>
    </row>
    <row r="14" spans="1:9" x14ac:dyDescent="0.25">
      <c r="B14">
        <v>2024</v>
      </c>
      <c r="C14" s="13">
        <v>0</v>
      </c>
      <c r="D14" s="13">
        <v>0</v>
      </c>
      <c r="E14" s="13">
        <v>0</v>
      </c>
      <c r="F14" s="38">
        <v>21.240000000000002</v>
      </c>
      <c r="G14" s="13">
        <v>0</v>
      </c>
      <c r="H14" s="13">
        <v>0</v>
      </c>
      <c r="I14" s="13">
        <v>0</v>
      </c>
    </row>
    <row r="16" spans="1:9" x14ac:dyDescent="0.25">
      <c r="A16" t="s">
        <v>38</v>
      </c>
    </row>
    <row r="17" spans="2:3" x14ac:dyDescent="0.25">
      <c r="B17" t="s">
        <v>8</v>
      </c>
      <c r="C17">
        <v>0</v>
      </c>
    </row>
    <row r="18" spans="2:3" x14ac:dyDescent="0.25">
      <c r="B18" t="s">
        <v>11</v>
      </c>
      <c r="C18">
        <v>0.23899999999999999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A941-8ECB-48AC-B1FE-4E561D25CAD6}">
  <dimension ref="A4:Q27"/>
  <sheetViews>
    <sheetView workbookViewId="0">
      <selection activeCell="F31" sqref="F31"/>
    </sheetView>
  </sheetViews>
  <sheetFormatPr baseColWidth="10" defaultColWidth="9.140625" defaultRowHeight="15" x14ac:dyDescent="0.25"/>
  <cols>
    <col min="3" max="3" width="9.7109375" bestFit="1" customWidth="1"/>
    <col min="5" max="5" width="12.28515625" bestFit="1" customWidth="1"/>
    <col min="6" max="6" width="10.42578125" bestFit="1" customWidth="1"/>
    <col min="7" max="7" width="23.85546875" bestFit="1" customWidth="1"/>
    <col min="8" max="8" width="14.28515625" bestFit="1" customWidth="1"/>
    <col min="9" max="9" width="23.85546875" bestFit="1" customWidth="1"/>
    <col min="10" max="10" width="14.28515625" bestFit="1" customWidth="1"/>
  </cols>
  <sheetData>
    <row r="4" spans="1:17" x14ac:dyDescent="0.25">
      <c r="C4" t="s">
        <v>31</v>
      </c>
      <c r="D4" t="s">
        <v>32</v>
      </c>
      <c r="E4" t="s">
        <v>33</v>
      </c>
      <c r="F4" t="s">
        <v>47</v>
      </c>
      <c r="G4" t="s">
        <v>35</v>
      </c>
      <c r="H4" t="s">
        <v>36</v>
      </c>
    </row>
    <row r="5" spans="1:17" x14ac:dyDescent="0.25">
      <c r="B5" t="s">
        <v>12</v>
      </c>
      <c r="C5" s="3">
        <v>0.33300000000000002</v>
      </c>
      <c r="D5" s="1">
        <v>0.5</v>
      </c>
      <c r="E5" s="5">
        <v>60</v>
      </c>
      <c r="F5" s="5">
        <v>100</v>
      </c>
      <c r="G5">
        <v>16.7</v>
      </c>
      <c r="H5">
        <v>50</v>
      </c>
      <c r="M5" t="s">
        <v>12</v>
      </c>
      <c r="N5" t="s">
        <v>1</v>
      </c>
    </row>
    <row r="6" spans="1:17" x14ac:dyDescent="0.25">
      <c r="B6" t="s">
        <v>2</v>
      </c>
      <c r="C6" s="3">
        <v>0.439</v>
      </c>
      <c r="D6" s="1">
        <v>0.4</v>
      </c>
      <c r="E6" s="5">
        <v>40</v>
      </c>
      <c r="F6" s="5">
        <v>60</v>
      </c>
      <c r="G6">
        <v>5.9</v>
      </c>
      <c r="H6">
        <v>49</v>
      </c>
      <c r="M6" t="s">
        <v>2</v>
      </c>
      <c r="N6" t="s">
        <v>2</v>
      </c>
    </row>
    <row r="7" spans="1:17" x14ac:dyDescent="0.25">
      <c r="B7" t="s">
        <v>3</v>
      </c>
      <c r="C7" s="3">
        <v>0.46200000000000002</v>
      </c>
      <c r="D7" s="1">
        <v>0.38</v>
      </c>
      <c r="E7" s="5">
        <v>40</v>
      </c>
      <c r="F7" s="5">
        <v>50</v>
      </c>
      <c r="G7">
        <v>5.9</v>
      </c>
      <c r="H7">
        <v>49</v>
      </c>
      <c r="M7" t="s">
        <v>3</v>
      </c>
      <c r="N7" t="s">
        <v>3</v>
      </c>
    </row>
    <row r="8" spans="1:17" x14ac:dyDescent="0.25">
      <c r="B8" t="s">
        <v>13</v>
      </c>
      <c r="C8" s="3">
        <v>0.60499999999999998</v>
      </c>
      <c r="D8" s="1">
        <v>0.45</v>
      </c>
      <c r="E8" s="5">
        <v>30</v>
      </c>
      <c r="F8" s="5">
        <v>20</v>
      </c>
      <c r="G8">
        <v>2.8</v>
      </c>
      <c r="H8">
        <v>60</v>
      </c>
      <c r="M8" t="s">
        <v>13</v>
      </c>
      <c r="N8" t="s">
        <v>4</v>
      </c>
    </row>
    <row r="9" spans="1:17" x14ac:dyDescent="0.25">
      <c r="B9" t="s">
        <v>14</v>
      </c>
      <c r="C9" s="4">
        <v>0.41199999999999998</v>
      </c>
      <c r="D9" s="2">
        <v>0.2</v>
      </c>
      <c r="E9" s="5">
        <v>30</v>
      </c>
      <c r="F9" s="5">
        <v>15</v>
      </c>
      <c r="G9">
        <v>0.1</v>
      </c>
      <c r="H9">
        <v>24</v>
      </c>
      <c r="M9" t="s">
        <v>14</v>
      </c>
      <c r="N9" t="s">
        <v>4</v>
      </c>
    </row>
    <row r="11" spans="1:17" x14ac:dyDescent="0.25">
      <c r="C11" s="4"/>
    </row>
    <row r="12" spans="1:17" x14ac:dyDescent="0.25">
      <c r="A12" t="s">
        <v>34</v>
      </c>
      <c r="C12">
        <v>2015</v>
      </c>
      <c r="D12">
        <v>2016</v>
      </c>
      <c r="E12">
        <v>2017</v>
      </c>
      <c r="F12">
        <v>2018</v>
      </c>
      <c r="G12">
        <v>2019</v>
      </c>
      <c r="H12">
        <v>2020</v>
      </c>
      <c r="I12">
        <v>2021</v>
      </c>
      <c r="J12">
        <v>2022</v>
      </c>
      <c r="K12">
        <v>2023</v>
      </c>
      <c r="L12">
        <v>2024</v>
      </c>
    </row>
    <row r="13" spans="1:17" x14ac:dyDescent="0.25">
      <c r="B13" t="s">
        <v>12</v>
      </c>
      <c r="C13" s="21">
        <v>5539.45</v>
      </c>
      <c r="D13" s="21">
        <v>5935.48</v>
      </c>
      <c r="E13" s="21">
        <v>6331.51</v>
      </c>
      <c r="F13" s="21">
        <v>6727.54</v>
      </c>
      <c r="G13" s="21">
        <v>7123.57</v>
      </c>
      <c r="H13" s="21">
        <v>7519.6</v>
      </c>
      <c r="I13" s="21">
        <v>7915.63</v>
      </c>
      <c r="J13" s="21">
        <v>8311.66</v>
      </c>
      <c r="K13" s="21">
        <v>8707.69</v>
      </c>
      <c r="L13" s="21">
        <v>9103.7199999999993</v>
      </c>
      <c r="P13" s="24"/>
      <c r="Q13" s="24"/>
    </row>
    <row r="14" spans="1:17" x14ac:dyDescent="0.25">
      <c r="B14" t="s">
        <v>2</v>
      </c>
      <c r="C14" s="26">
        <v>1841.2000000000116</v>
      </c>
      <c r="D14" s="26">
        <v>1992.0800000000163</v>
      </c>
      <c r="E14" s="26">
        <v>2142.9599999999627</v>
      </c>
      <c r="F14" s="26">
        <v>2293.8399999999674</v>
      </c>
      <c r="G14" s="26">
        <v>2444.7199999999721</v>
      </c>
      <c r="H14" s="26">
        <v>2595.5999999999767</v>
      </c>
      <c r="I14" s="26">
        <v>2746.4799999999814</v>
      </c>
      <c r="J14" s="26">
        <v>2897.359999999986</v>
      </c>
      <c r="K14" s="26">
        <v>3048.2399999999907</v>
      </c>
      <c r="L14" s="26">
        <v>3199.1199999999953</v>
      </c>
      <c r="P14" s="24"/>
      <c r="Q14" s="24"/>
    </row>
    <row r="15" spans="1:17" x14ac:dyDescent="0.25">
      <c r="B15" t="s">
        <v>3</v>
      </c>
      <c r="C15" s="28">
        <v>3237.6749999999884</v>
      </c>
      <c r="D15" s="28">
        <v>3303.3199999999779</v>
      </c>
      <c r="E15" s="28">
        <v>3368.9649999999965</v>
      </c>
      <c r="F15" s="28">
        <v>3434.609999999986</v>
      </c>
      <c r="G15" s="28">
        <v>3500.2550000000047</v>
      </c>
      <c r="H15" s="28">
        <v>3565.8999999999942</v>
      </c>
      <c r="I15" s="28">
        <v>3631.5449999999837</v>
      </c>
      <c r="J15" s="28">
        <v>3697.1900000000023</v>
      </c>
      <c r="K15" s="28">
        <v>3762.8349999999919</v>
      </c>
      <c r="L15" s="28">
        <v>3828.4799999999814</v>
      </c>
      <c r="P15" s="24"/>
      <c r="Q15" s="24"/>
    </row>
    <row r="16" spans="1:17" x14ac:dyDescent="0.25">
      <c r="B16" t="s">
        <v>13</v>
      </c>
      <c r="C16" s="23">
        <v>888.54149999999936</v>
      </c>
      <c r="D16" s="23">
        <v>897.69759999999951</v>
      </c>
      <c r="E16" s="23">
        <v>906.85369999999966</v>
      </c>
      <c r="F16" s="23">
        <v>916.00979999999981</v>
      </c>
      <c r="G16" s="23">
        <v>925.16589999999997</v>
      </c>
      <c r="H16" s="23">
        <v>934.32200000000012</v>
      </c>
      <c r="I16" s="23">
        <v>943.47810000000027</v>
      </c>
      <c r="J16" s="23">
        <v>952.63420000000042</v>
      </c>
      <c r="K16" s="23">
        <v>961.79030000000057</v>
      </c>
      <c r="L16" s="23">
        <v>970.94640000000072</v>
      </c>
      <c r="P16" s="24"/>
      <c r="Q16" s="24"/>
    </row>
    <row r="17" spans="1:17" x14ac:dyDescent="0.25">
      <c r="B17" t="s">
        <v>14</v>
      </c>
      <c r="C17" s="24">
        <v>634.28499999999622</v>
      </c>
      <c r="D17" s="24">
        <v>652.90400000000227</v>
      </c>
      <c r="E17" s="24">
        <v>671.52300000000105</v>
      </c>
      <c r="F17" s="24">
        <v>690.14199999999983</v>
      </c>
      <c r="G17" s="24">
        <v>708.7609999999986</v>
      </c>
      <c r="H17" s="24">
        <v>727.37999999999738</v>
      </c>
      <c r="I17" s="24">
        <v>745.99899999999616</v>
      </c>
      <c r="J17" s="24">
        <v>764.61800000000221</v>
      </c>
      <c r="K17" s="24">
        <v>783.23700000000099</v>
      </c>
      <c r="L17" s="24">
        <v>801.85599999999977</v>
      </c>
      <c r="P17" s="24"/>
      <c r="Q17" s="24"/>
    </row>
    <row r="18" spans="1:17" x14ac:dyDescent="0.25">
      <c r="P18" s="24"/>
      <c r="Q18" s="24"/>
    </row>
    <row r="19" spans="1:17" x14ac:dyDescent="0.25">
      <c r="A19" t="s">
        <v>46</v>
      </c>
      <c r="C19">
        <v>2015</v>
      </c>
      <c r="D19">
        <v>2016</v>
      </c>
      <c r="E19">
        <v>2017</v>
      </c>
      <c r="F19">
        <v>2018</v>
      </c>
      <c r="G19">
        <v>2019</v>
      </c>
      <c r="H19">
        <v>2020</v>
      </c>
      <c r="I19">
        <v>2021</v>
      </c>
      <c r="J19">
        <v>2022</v>
      </c>
      <c r="K19">
        <v>2023</v>
      </c>
      <c r="L19">
        <v>2024</v>
      </c>
      <c r="P19" s="24"/>
      <c r="Q19" s="24"/>
    </row>
    <row r="20" spans="1:17" x14ac:dyDescent="0.25">
      <c r="B20" t="s">
        <v>12</v>
      </c>
      <c r="C20" s="22">
        <v>93.671499999999469</v>
      </c>
      <c r="D20" s="22">
        <v>97.309599999999591</v>
      </c>
      <c r="E20" s="22">
        <v>100.94769999999971</v>
      </c>
      <c r="F20" s="22">
        <v>104.58579999999984</v>
      </c>
      <c r="G20" s="22">
        <v>108.22389999999996</v>
      </c>
      <c r="H20" s="22">
        <v>111.86200000000008</v>
      </c>
      <c r="I20" s="22">
        <v>115.5001000000002</v>
      </c>
      <c r="J20" s="22">
        <v>119.13819999999942</v>
      </c>
      <c r="K20" s="22">
        <v>122.77629999999954</v>
      </c>
      <c r="L20" s="22">
        <v>126.41439999999966</v>
      </c>
      <c r="P20" s="24"/>
      <c r="Q20" s="24"/>
    </row>
    <row r="21" spans="1:17" x14ac:dyDescent="0.25">
      <c r="B21" t="s">
        <v>2</v>
      </c>
      <c r="C21" s="27">
        <v>28.0625</v>
      </c>
      <c r="D21" s="27">
        <v>31.600000000000364</v>
      </c>
      <c r="E21" s="27">
        <v>35.137499999999818</v>
      </c>
      <c r="F21" s="27">
        <v>38.675000000000182</v>
      </c>
      <c r="G21" s="27">
        <v>42.212500000000546</v>
      </c>
      <c r="H21" s="27">
        <v>45.75</v>
      </c>
      <c r="I21" s="27">
        <v>49.287500000000364</v>
      </c>
      <c r="J21" s="27">
        <v>52.824999999999818</v>
      </c>
      <c r="K21" s="27">
        <v>56.362500000000182</v>
      </c>
      <c r="L21" s="27">
        <v>59.900000000000546</v>
      </c>
      <c r="P21" s="24"/>
      <c r="Q21" s="24"/>
    </row>
    <row r="22" spans="1:17" x14ac:dyDescent="0.25">
      <c r="B22" t="s">
        <v>3</v>
      </c>
      <c r="C22" s="29">
        <v>43.6875</v>
      </c>
      <c r="D22" s="29">
        <v>45.360000000000127</v>
      </c>
      <c r="E22" s="29">
        <v>47.032500000000255</v>
      </c>
      <c r="F22" s="29">
        <v>48.704999999999927</v>
      </c>
      <c r="G22" s="29">
        <v>50.377500000000055</v>
      </c>
      <c r="H22" s="29">
        <v>52.050000000000182</v>
      </c>
      <c r="I22" s="29">
        <v>53.722500000000309</v>
      </c>
      <c r="J22" s="29">
        <v>55.394999999999982</v>
      </c>
      <c r="K22" s="29">
        <v>57.067500000000109</v>
      </c>
      <c r="L22" s="29">
        <v>58.740000000000236</v>
      </c>
      <c r="P22" s="24"/>
      <c r="Q22" s="24"/>
    </row>
    <row r="23" spans="1:17" x14ac:dyDescent="0.25">
      <c r="B23" t="s">
        <v>13</v>
      </c>
      <c r="C23" s="23">
        <v>12.811999999999898</v>
      </c>
      <c r="D23" s="23">
        <v>13.732799999999997</v>
      </c>
      <c r="E23" s="23">
        <v>14.653600000000097</v>
      </c>
      <c r="F23" s="23">
        <v>15.574399999999969</v>
      </c>
      <c r="G23" s="23">
        <v>16.495200000000068</v>
      </c>
      <c r="H23" s="23">
        <v>17.41599999999994</v>
      </c>
      <c r="I23" s="23">
        <v>18.336800000000039</v>
      </c>
      <c r="J23" s="23">
        <v>19.257599999999911</v>
      </c>
      <c r="K23" s="23">
        <v>20.178400000000011</v>
      </c>
      <c r="L23" s="23">
        <v>21.099199999999882</v>
      </c>
      <c r="P23" s="22"/>
      <c r="Q23" s="14"/>
    </row>
    <row r="24" spans="1:17" x14ac:dyDescent="0.25">
      <c r="B24" t="s">
        <v>14</v>
      </c>
      <c r="C24" s="24">
        <v>11.277500000000003</v>
      </c>
      <c r="D24" s="24">
        <v>11.384000000000015</v>
      </c>
      <c r="E24" s="24">
        <v>11.490499999999997</v>
      </c>
      <c r="F24" s="24">
        <v>11.597000000000008</v>
      </c>
      <c r="G24" s="24">
        <v>11.703499999999991</v>
      </c>
      <c r="H24" s="24">
        <v>11.810000000000002</v>
      </c>
      <c r="I24" s="24">
        <v>11.916500000000013</v>
      </c>
      <c r="J24" s="24">
        <v>12.022999999999996</v>
      </c>
      <c r="K24" s="24">
        <v>12.129500000000007</v>
      </c>
      <c r="L24" s="24">
        <v>12.23599999999999</v>
      </c>
      <c r="P24" s="14"/>
      <c r="Q24" s="14"/>
    </row>
    <row r="25" spans="1:17" x14ac:dyDescent="0.25">
      <c r="P25" s="14"/>
      <c r="Q25" s="14"/>
    </row>
    <row r="26" spans="1:17" x14ac:dyDescent="0.25">
      <c r="P26" s="14"/>
      <c r="Q26" s="14"/>
    </row>
    <row r="27" spans="1:17" x14ac:dyDescent="0.25">
      <c r="P27" s="14"/>
      <c r="Q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D0B7-B92C-4306-AF7A-9D3ACEBB12F2}">
  <dimension ref="C5:E9"/>
  <sheetViews>
    <sheetView workbookViewId="0">
      <selection activeCell="P17" sqref="P17"/>
    </sheetView>
  </sheetViews>
  <sheetFormatPr baseColWidth="10" defaultColWidth="9.140625" defaultRowHeight="15" x14ac:dyDescent="0.25"/>
  <cols>
    <col min="3" max="3" width="16.42578125" bestFit="1" customWidth="1"/>
    <col min="4" max="4" width="8.5703125" bestFit="1" customWidth="1"/>
  </cols>
  <sheetData>
    <row r="5" spans="3:5" x14ac:dyDescent="0.25">
      <c r="C5" t="s">
        <v>37</v>
      </c>
      <c r="D5" t="s">
        <v>12</v>
      </c>
      <c r="E5" s="3">
        <v>0.87</v>
      </c>
    </row>
    <row r="6" spans="3:5" x14ac:dyDescent="0.25">
      <c r="C6" t="s">
        <v>37</v>
      </c>
      <c r="D6" t="s">
        <v>2</v>
      </c>
      <c r="E6" s="3">
        <v>0.87</v>
      </c>
    </row>
    <row r="7" spans="3:5" x14ac:dyDescent="0.25">
      <c r="C7" t="s">
        <v>37</v>
      </c>
      <c r="D7" t="s">
        <v>3</v>
      </c>
      <c r="E7" s="3">
        <v>0.86</v>
      </c>
    </row>
    <row r="8" spans="3:5" x14ac:dyDescent="0.25">
      <c r="C8" t="s">
        <v>37</v>
      </c>
      <c r="D8" t="s">
        <v>13</v>
      </c>
      <c r="E8" s="3">
        <v>0.84</v>
      </c>
    </row>
    <row r="9" spans="3:5" x14ac:dyDescent="0.25">
      <c r="C9" t="s">
        <v>37</v>
      </c>
      <c r="D9" t="s">
        <v>14</v>
      </c>
      <c r="E9" s="3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6775-C2C6-4090-A4FF-E8AB4F9F35A2}">
  <dimension ref="A4:X57"/>
  <sheetViews>
    <sheetView topLeftCell="A19" workbookViewId="0">
      <selection activeCell="P47" sqref="P47"/>
    </sheetView>
  </sheetViews>
  <sheetFormatPr baseColWidth="10" defaultColWidth="9.140625" defaultRowHeight="15" x14ac:dyDescent="0.25"/>
  <cols>
    <col min="2" max="2" width="13.85546875" bestFit="1" customWidth="1"/>
    <col min="5" max="5" width="12.28515625" bestFit="1" customWidth="1"/>
    <col min="8" max="8" width="11.42578125" bestFit="1" customWidth="1"/>
    <col min="9" max="9" width="11.140625" bestFit="1" customWidth="1"/>
    <col min="13" max="13" width="13.85546875" bestFit="1" customWidth="1"/>
    <col min="14" max="14" width="10" bestFit="1" customWidth="1"/>
  </cols>
  <sheetData>
    <row r="4" spans="2:14" x14ac:dyDescent="0.25">
      <c r="C4" t="s">
        <v>31</v>
      </c>
      <c r="D4" t="s">
        <v>37</v>
      </c>
      <c r="E4" t="s">
        <v>33</v>
      </c>
      <c r="F4" t="s">
        <v>47</v>
      </c>
      <c r="G4" t="s">
        <v>40</v>
      </c>
      <c r="H4" t="s">
        <v>41</v>
      </c>
    </row>
    <row r="5" spans="2:14" x14ac:dyDescent="0.25">
      <c r="B5" t="s">
        <v>15</v>
      </c>
      <c r="C5" s="1">
        <v>1</v>
      </c>
      <c r="D5" s="1">
        <v>1</v>
      </c>
      <c r="E5">
        <v>25</v>
      </c>
      <c r="F5">
        <v>25</v>
      </c>
      <c r="G5">
        <v>0</v>
      </c>
      <c r="H5">
        <v>1</v>
      </c>
      <c r="M5" t="s">
        <v>15</v>
      </c>
      <c r="N5" t="s">
        <v>5</v>
      </c>
    </row>
    <row r="6" spans="2:14" x14ac:dyDescent="0.25">
      <c r="B6" t="s">
        <v>16</v>
      </c>
      <c r="C6" s="1">
        <v>1</v>
      </c>
      <c r="D6" s="1">
        <v>1</v>
      </c>
      <c r="E6">
        <v>25</v>
      </c>
      <c r="F6">
        <v>25</v>
      </c>
      <c r="G6">
        <v>0</v>
      </c>
      <c r="H6">
        <v>1</v>
      </c>
      <c r="M6" t="s">
        <v>16</v>
      </c>
      <c r="N6" t="s">
        <v>5</v>
      </c>
    </row>
    <row r="7" spans="2:14" x14ac:dyDescent="0.25">
      <c r="B7" t="s">
        <v>17</v>
      </c>
      <c r="C7" s="1">
        <v>1</v>
      </c>
      <c r="D7" s="1">
        <v>1</v>
      </c>
      <c r="E7">
        <v>25</v>
      </c>
      <c r="F7">
        <v>25</v>
      </c>
      <c r="G7">
        <v>0</v>
      </c>
      <c r="H7">
        <v>1</v>
      </c>
      <c r="M7" t="s">
        <v>17</v>
      </c>
      <c r="N7" t="s">
        <v>5</v>
      </c>
    </row>
    <row r="8" spans="2:14" x14ac:dyDescent="0.25">
      <c r="B8" t="s">
        <v>18</v>
      </c>
      <c r="C8" s="1">
        <v>1</v>
      </c>
      <c r="D8" s="1">
        <v>1</v>
      </c>
      <c r="E8">
        <v>25</v>
      </c>
      <c r="F8">
        <v>25</v>
      </c>
      <c r="G8">
        <v>0</v>
      </c>
      <c r="H8">
        <v>1</v>
      </c>
      <c r="M8" t="s">
        <v>18</v>
      </c>
      <c r="N8" t="s">
        <v>5</v>
      </c>
    </row>
    <row r="9" spans="2:14" x14ac:dyDescent="0.25">
      <c r="B9" t="s">
        <v>19</v>
      </c>
      <c r="C9" s="1">
        <v>1</v>
      </c>
      <c r="D9" s="1">
        <v>1</v>
      </c>
      <c r="E9">
        <v>20</v>
      </c>
      <c r="F9">
        <v>35</v>
      </c>
      <c r="G9">
        <v>0</v>
      </c>
      <c r="H9">
        <v>1</v>
      </c>
      <c r="M9" t="s">
        <v>19</v>
      </c>
      <c r="N9" t="s">
        <v>6</v>
      </c>
    </row>
    <row r="10" spans="2:14" x14ac:dyDescent="0.25">
      <c r="B10" t="s">
        <v>20</v>
      </c>
      <c r="C10" s="1">
        <v>1</v>
      </c>
      <c r="D10" s="1">
        <v>1</v>
      </c>
      <c r="E10" s="30">
        <v>20</v>
      </c>
      <c r="F10">
        <v>35</v>
      </c>
      <c r="G10">
        <v>0</v>
      </c>
      <c r="H10">
        <v>1</v>
      </c>
      <c r="M10" t="s">
        <v>20</v>
      </c>
      <c r="N10" t="s">
        <v>6</v>
      </c>
    </row>
    <row r="11" spans="2:14" x14ac:dyDescent="0.25">
      <c r="B11" t="s">
        <v>21</v>
      </c>
      <c r="C11" s="1">
        <v>1</v>
      </c>
      <c r="D11" s="1">
        <v>1</v>
      </c>
      <c r="E11" s="30">
        <v>20</v>
      </c>
      <c r="F11">
        <v>35</v>
      </c>
      <c r="G11">
        <v>0</v>
      </c>
      <c r="H11">
        <v>1</v>
      </c>
      <c r="M11" t="s">
        <v>21</v>
      </c>
      <c r="N11" t="s">
        <v>6</v>
      </c>
    </row>
    <row r="12" spans="2:14" x14ac:dyDescent="0.25">
      <c r="B12" t="s">
        <v>22</v>
      </c>
      <c r="C12" s="1">
        <v>1</v>
      </c>
      <c r="D12" s="1">
        <v>1</v>
      </c>
      <c r="E12" s="30">
        <v>20</v>
      </c>
      <c r="F12">
        <v>35</v>
      </c>
      <c r="G12">
        <v>0</v>
      </c>
      <c r="H12">
        <v>1</v>
      </c>
      <c r="M12" t="s">
        <v>22</v>
      </c>
      <c r="N12" t="s">
        <v>6</v>
      </c>
    </row>
    <row r="13" spans="2:14" x14ac:dyDescent="0.25">
      <c r="B13" t="s">
        <v>23</v>
      </c>
      <c r="C13" s="1">
        <v>1</v>
      </c>
      <c r="D13" s="1">
        <v>1</v>
      </c>
      <c r="E13">
        <v>25</v>
      </c>
      <c r="F13">
        <v>35</v>
      </c>
      <c r="G13">
        <v>0</v>
      </c>
      <c r="H13">
        <v>1</v>
      </c>
      <c r="M13" t="s">
        <v>23</v>
      </c>
      <c r="N13" t="s">
        <v>6</v>
      </c>
    </row>
    <row r="14" spans="2:14" x14ac:dyDescent="0.25">
      <c r="B14" t="s">
        <v>24</v>
      </c>
      <c r="C14" s="1">
        <v>1</v>
      </c>
      <c r="D14" s="1">
        <v>1</v>
      </c>
      <c r="E14">
        <v>80</v>
      </c>
      <c r="F14">
        <v>60</v>
      </c>
      <c r="G14">
        <v>0</v>
      </c>
      <c r="H14">
        <v>0</v>
      </c>
      <c r="M14" t="s">
        <v>24</v>
      </c>
      <c r="N14" t="s">
        <v>7</v>
      </c>
    </row>
    <row r="15" spans="2:14" x14ac:dyDescent="0.25">
      <c r="B15" t="s">
        <v>25</v>
      </c>
      <c r="C15" s="1">
        <v>1</v>
      </c>
      <c r="D15" s="1">
        <v>1</v>
      </c>
      <c r="E15">
        <v>80</v>
      </c>
      <c r="F15">
        <v>20</v>
      </c>
      <c r="G15">
        <v>1</v>
      </c>
      <c r="H15">
        <v>0</v>
      </c>
      <c r="M15" t="s">
        <v>25</v>
      </c>
      <c r="N15" t="s">
        <v>7</v>
      </c>
    </row>
    <row r="16" spans="2:14" x14ac:dyDescent="0.25">
      <c r="B16" t="s">
        <v>8</v>
      </c>
      <c r="C16" s="1">
        <v>0.45900000000000002</v>
      </c>
      <c r="D16" s="1">
        <v>0.8</v>
      </c>
      <c r="E16">
        <v>30</v>
      </c>
      <c r="F16">
        <v>100</v>
      </c>
      <c r="G16">
        <v>1</v>
      </c>
      <c r="H16">
        <v>0</v>
      </c>
      <c r="M16" t="s">
        <v>8</v>
      </c>
      <c r="N16" t="s">
        <v>8</v>
      </c>
    </row>
    <row r="17" spans="1:17" x14ac:dyDescent="0.25">
      <c r="B17" t="s">
        <v>9</v>
      </c>
      <c r="C17" s="1">
        <v>0.38</v>
      </c>
      <c r="D17" s="1">
        <v>0.8</v>
      </c>
      <c r="E17">
        <v>30</v>
      </c>
      <c r="F17">
        <v>100</v>
      </c>
      <c r="G17">
        <v>1</v>
      </c>
      <c r="H17">
        <v>0</v>
      </c>
      <c r="M17" t="s">
        <v>9</v>
      </c>
      <c r="N17" t="s">
        <v>9</v>
      </c>
    </row>
    <row r="18" spans="1:17" x14ac:dyDescent="0.25">
      <c r="B18" t="s">
        <v>26</v>
      </c>
      <c r="C18" s="1">
        <v>1</v>
      </c>
      <c r="D18" s="1">
        <v>1</v>
      </c>
      <c r="E18">
        <v>40</v>
      </c>
      <c r="F18">
        <v>80</v>
      </c>
      <c r="G18">
        <v>0</v>
      </c>
      <c r="H18">
        <v>0</v>
      </c>
      <c r="M18" t="s">
        <v>26</v>
      </c>
      <c r="N18" t="s">
        <v>10</v>
      </c>
    </row>
    <row r="19" spans="1:17" x14ac:dyDescent="0.25">
      <c r="B19" t="s">
        <v>27</v>
      </c>
      <c r="C19" s="1">
        <v>1</v>
      </c>
      <c r="D19" s="1">
        <v>1</v>
      </c>
      <c r="E19">
        <v>30</v>
      </c>
      <c r="F19">
        <v>150</v>
      </c>
      <c r="G19">
        <v>0</v>
      </c>
      <c r="H19">
        <v>0</v>
      </c>
      <c r="M19" t="s">
        <v>27</v>
      </c>
      <c r="N19" t="s">
        <v>10</v>
      </c>
    </row>
    <row r="20" spans="1:17" x14ac:dyDescent="0.25">
      <c r="B20" t="s">
        <v>11</v>
      </c>
      <c r="C20" s="1">
        <f>C17</f>
        <v>0.38</v>
      </c>
      <c r="D20" s="1">
        <v>1</v>
      </c>
      <c r="E20">
        <f t="shared" ref="E20:F20" si="0">E17</f>
        <v>30</v>
      </c>
      <c r="F20">
        <f t="shared" si="0"/>
        <v>100</v>
      </c>
      <c r="G20">
        <v>0</v>
      </c>
      <c r="H20">
        <v>0</v>
      </c>
      <c r="M20" t="s">
        <v>11</v>
      </c>
      <c r="N20" t="s">
        <v>11</v>
      </c>
    </row>
    <row r="23" spans="1:17" x14ac:dyDescent="0.25">
      <c r="A23" t="s">
        <v>34</v>
      </c>
      <c r="C23">
        <v>2015</v>
      </c>
      <c r="D23">
        <v>2016</v>
      </c>
      <c r="E23">
        <v>2017</v>
      </c>
      <c r="F23">
        <v>2018</v>
      </c>
      <c r="G23">
        <v>2019</v>
      </c>
      <c r="H23">
        <v>2020</v>
      </c>
      <c r="I23">
        <v>2021</v>
      </c>
      <c r="J23">
        <v>2022</v>
      </c>
      <c r="K23">
        <v>2023</v>
      </c>
      <c r="L23">
        <v>2024</v>
      </c>
    </row>
    <row r="24" spans="1:17" x14ac:dyDescent="0.25">
      <c r="B24" t="s">
        <v>15</v>
      </c>
      <c r="C24" s="15">
        <v>1420.74</v>
      </c>
      <c r="D24" s="15">
        <v>1344.856</v>
      </c>
      <c r="E24" s="15">
        <v>1268.972</v>
      </c>
      <c r="F24" s="15">
        <v>1193.088</v>
      </c>
      <c r="G24" s="15">
        <v>1117.204</v>
      </c>
      <c r="H24" s="15">
        <v>1041.32</v>
      </c>
      <c r="I24" s="15">
        <v>965.43600000000004</v>
      </c>
      <c r="J24" s="15">
        <v>889.55200000000002</v>
      </c>
      <c r="K24" s="15">
        <v>813.66800000000001</v>
      </c>
      <c r="L24" s="15">
        <v>737.78399999999999</v>
      </c>
    </row>
    <row r="25" spans="1:17" x14ac:dyDescent="0.25">
      <c r="B25" t="s">
        <v>16</v>
      </c>
      <c r="C25" s="19">
        <v>1420.74</v>
      </c>
      <c r="D25" s="19">
        <v>1344.856</v>
      </c>
      <c r="E25" s="19">
        <v>1268.972</v>
      </c>
      <c r="F25" s="19">
        <v>1193.088</v>
      </c>
      <c r="G25" s="19">
        <v>1117.204</v>
      </c>
      <c r="H25" s="19">
        <v>1041.32</v>
      </c>
      <c r="I25" s="19">
        <v>965.43600000000004</v>
      </c>
      <c r="J25" s="19">
        <v>889.55200000000002</v>
      </c>
      <c r="K25" s="19">
        <v>813.66800000000001</v>
      </c>
      <c r="L25" s="19">
        <v>737.78399999999999</v>
      </c>
    </row>
    <row r="26" spans="1:17" x14ac:dyDescent="0.25">
      <c r="B26" t="s">
        <v>17</v>
      </c>
      <c r="C26" s="19">
        <v>1420.74</v>
      </c>
      <c r="D26" s="19">
        <v>1344.856</v>
      </c>
      <c r="E26" s="19">
        <v>1268.972</v>
      </c>
      <c r="F26" s="19">
        <v>1193.088</v>
      </c>
      <c r="G26" s="19">
        <v>1117.204</v>
      </c>
      <c r="H26" s="19">
        <v>1041.32</v>
      </c>
      <c r="I26" s="19">
        <v>965.43600000000004</v>
      </c>
      <c r="J26" s="19">
        <v>889.55200000000002</v>
      </c>
      <c r="K26" s="19">
        <v>813.66800000000001</v>
      </c>
      <c r="L26" s="19">
        <v>737.78399999999999</v>
      </c>
    </row>
    <row r="27" spans="1:17" x14ac:dyDescent="0.25">
      <c r="B27" t="s">
        <v>18</v>
      </c>
      <c r="C27" s="19">
        <v>1420.74</v>
      </c>
      <c r="D27" s="19">
        <v>1344.856</v>
      </c>
      <c r="E27" s="19">
        <v>1268.972</v>
      </c>
      <c r="F27" s="19">
        <v>1193.088</v>
      </c>
      <c r="G27" s="19">
        <v>1117.204</v>
      </c>
      <c r="H27" s="19">
        <v>1041.32</v>
      </c>
      <c r="I27" s="19">
        <v>965.43600000000004</v>
      </c>
      <c r="J27" s="19">
        <v>889.55200000000002</v>
      </c>
      <c r="K27" s="19">
        <v>813.66800000000001</v>
      </c>
      <c r="L27" s="19">
        <v>737.78399999999999</v>
      </c>
    </row>
    <row r="28" spans="1:17" x14ac:dyDescent="0.25">
      <c r="B28" t="s">
        <v>19</v>
      </c>
      <c r="C28" s="30">
        <v>1335.7149999999999</v>
      </c>
      <c r="D28" s="30">
        <v>1351.896</v>
      </c>
      <c r="E28" s="30">
        <v>1368.077</v>
      </c>
      <c r="F28" s="30">
        <v>1384.258</v>
      </c>
      <c r="G28" s="30">
        <v>1400.4390000000001</v>
      </c>
      <c r="H28" s="30">
        <v>1416.62</v>
      </c>
      <c r="I28" s="30">
        <v>1432.8009999999999</v>
      </c>
      <c r="J28" s="30">
        <v>1448.982</v>
      </c>
      <c r="K28" s="30">
        <v>1465.163</v>
      </c>
      <c r="L28" s="30">
        <v>1481.3440000000001</v>
      </c>
      <c r="P28" s="31"/>
      <c r="Q28" s="31"/>
    </row>
    <row r="29" spans="1:17" x14ac:dyDescent="0.25">
      <c r="B29" t="s">
        <v>20</v>
      </c>
      <c r="C29" s="30">
        <v>1335.7149999999999</v>
      </c>
      <c r="D29" s="30">
        <v>1351.896</v>
      </c>
      <c r="E29" s="30">
        <v>1368.077</v>
      </c>
      <c r="F29" s="30">
        <v>1384.258</v>
      </c>
      <c r="G29" s="30">
        <v>1400.4390000000001</v>
      </c>
      <c r="H29" s="30">
        <v>1416.62</v>
      </c>
      <c r="I29" s="30">
        <v>1432.8009999999999</v>
      </c>
      <c r="J29" s="30">
        <v>1448.982</v>
      </c>
      <c r="K29" s="30">
        <v>1465.163</v>
      </c>
      <c r="L29" s="30">
        <v>1481.3440000000001</v>
      </c>
      <c r="P29" s="31"/>
      <c r="Q29" s="31"/>
    </row>
    <row r="30" spans="1:17" x14ac:dyDescent="0.25">
      <c r="B30" t="s">
        <v>21</v>
      </c>
      <c r="C30" s="30">
        <v>1335.7149999999999</v>
      </c>
      <c r="D30" s="30">
        <v>1351.896</v>
      </c>
      <c r="E30" s="30">
        <v>1368.077</v>
      </c>
      <c r="F30" s="30">
        <v>1384.258</v>
      </c>
      <c r="G30" s="30">
        <v>1400.4390000000001</v>
      </c>
      <c r="H30" s="30">
        <v>1416.62</v>
      </c>
      <c r="I30" s="30">
        <v>1432.8009999999999</v>
      </c>
      <c r="J30" s="30">
        <v>1448.982</v>
      </c>
      <c r="K30" s="30">
        <v>1465.163</v>
      </c>
      <c r="L30" s="30">
        <v>1481.3440000000001</v>
      </c>
      <c r="P30" s="31"/>
      <c r="Q30" s="31"/>
    </row>
    <row r="31" spans="1:17" x14ac:dyDescent="0.25">
      <c r="B31" t="s">
        <v>22</v>
      </c>
      <c r="C31" s="30">
        <v>1335.7149999999999</v>
      </c>
      <c r="D31" s="30">
        <v>1351.896</v>
      </c>
      <c r="E31" s="30">
        <v>1368.077</v>
      </c>
      <c r="F31" s="30">
        <v>1384.258</v>
      </c>
      <c r="G31" s="30">
        <v>1400.4390000000001</v>
      </c>
      <c r="H31" s="30">
        <v>1416.62</v>
      </c>
      <c r="I31" s="30">
        <v>1432.8009999999999</v>
      </c>
      <c r="J31" s="30">
        <v>1448.982</v>
      </c>
      <c r="K31" s="30">
        <v>1465.163</v>
      </c>
      <c r="L31" s="30">
        <v>1481.3440000000001</v>
      </c>
      <c r="P31" s="31"/>
      <c r="Q31" s="31"/>
    </row>
    <row r="32" spans="1:17" x14ac:dyDescent="0.25">
      <c r="B32" t="s">
        <v>23</v>
      </c>
      <c r="C32" s="36">
        <v>3564.140000000014</v>
      </c>
      <c r="D32" s="36">
        <v>3514.416000000012</v>
      </c>
      <c r="E32" s="36">
        <v>3464.69200000001</v>
      </c>
      <c r="F32" s="36">
        <v>3414.968000000008</v>
      </c>
      <c r="G32" s="36">
        <v>3365.2440000000061</v>
      </c>
      <c r="H32" s="36">
        <v>3315.5200000000041</v>
      </c>
      <c r="I32" s="36">
        <v>3265.7960000000021</v>
      </c>
      <c r="J32" s="36">
        <v>3216.0720000000001</v>
      </c>
      <c r="K32" s="36">
        <v>3166.3480000000127</v>
      </c>
      <c r="L32" s="36">
        <v>3116.6240000000107</v>
      </c>
      <c r="O32" s="32"/>
      <c r="P32" s="31"/>
      <c r="Q32" s="31"/>
    </row>
    <row r="33" spans="1:24" x14ac:dyDescent="0.25">
      <c r="B33" t="s">
        <v>24</v>
      </c>
      <c r="C33" s="32">
        <v>3291.4699999999721</v>
      </c>
      <c r="D33" s="32">
        <v>3960.5300000000279</v>
      </c>
      <c r="E33" s="32">
        <v>4629.589999999851</v>
      </c>
      <c r="F33" s="32">
        <v>5298.6499999999069</v>
      </c>
      <c r="G33" s="32">
        <v>5967.7099999999627</v>
      </c>
      <c r="H33" s="32">
        <v>6636.7700000000186</v>
      </c>
      <c r="I33" s="32">
        <v>7305.8299999998417</v>
      </c>
      <c r="J33" s="32">
        <v>7974.8899999998976</v>
      </c>
      <c r="K33" s="32">
        <v>8643.9499999999534</v>
      </c>
      <c r="L33" s="32">
        <v>9313.0100000000093</v>
      </c>
      <c r="O33" s="32"/>
      <c r="P33" s="31"/>
      <c r="Q33" s="31"/>
    </row>
    <row r="34" spans="1:24" x14ac:dyDescent="0.25">
      <c r="B34" t="s">
        <v>25</v>
      </c>
      <c r="C34" s="34">
        <v>3942.6999999999534</v>
      </c>
      <c r="D34" s="34">
        <v>4243.0799999999581</v>
      </c>
      <c r="E34" s="34">
        <v>4543.4599999999627</v>
      </c>
      <c r="F34" s="34">
        <v>4843.8399999999674</v>
      </c>
      <c r="G34" s="34">
        <v>5144.2199999999721</v>
      </c>
      <c r="H34" s="34">
        <v>5444.5999999999767</v>
      </c>
      <c r="I34" s="34">
        <v>5744.9799999999814</v>
      </c>
      <c r="J34" s="34">
        <v>6045.359999999986</v>
      </c>
      <c r="K34" s="34">
        <v>6345.7399999999907</v>
      </c>
      <c r="L34" s="34">
        <v>6646.1199999999953</v>
      </c>
      <c r="O34" s="32"/>
      <c r="P34" s="31"/>
      <c r="Q34" s="31"/>
    </row>
    <row r="35" spans="1:24" x14ac:dyDescent="0.25">
      <c r="B35" t="s">
        <v>8</v>
      </c>
      <c r="C35" s="16">
        <v>3211.7000000000116</v>
      </c>
      <c r="D35" s="16">
        <v>3366.4799999999814</v>
      </c>
      <c r="E35" s="16">
        <v>3521.2600000000093</v>
      </c>
      <c r="F35" s="16">
        <v>3676.039999999979</v>
      </c>
      <c r="G35" s="16">
        <v>3830.820000000007</v>
      </c>
      <c r="H35" s="16">
        <v>3985.5999999999767</v>
      </c>
      <c r="I35" s="16">
        <v>4140.3800000000047</v>
      </c>
      <c r="J35" s="16">
        <v>4295.1599999999744</v>
      </c>
      <c r="K35" s="16">
        <v>4449.9400000000023</v>
      </c>
      <c r="L35" s="16">
        <v>4604.7200000000303</v>
      </c>
      <c r="O35" s="32"/>
      <c r="P35" s="31"/>
      <c r="Q35" s="31"/>
    </row>
    <row r="36" spans="1:24" x14ac:dyDescent="0.25">
      <c r="B36" t="s">
        <v>9</v>
      </c>
      <c r="C36" s="9">
        <v>8530.7137000000002</v>
      </c>
      <c r="D36" s="9">
        <v>8693.5460999999996</v>
      </c>
      <c r="E36" s="9">
        <v>8415.2163</v>
      </c>
      <c r="F36" s="9">
        <v>8077.2443999999996</v>
      </c>
      <c r="G36" s="9">
        <v>8391.5488000000005</v>
      </c>
      <c r="H36" s="9">
        <v>7973.1073999999999</v>
      </c>
      <c r="I36" s="9">
        <v>8094.2849999999999</v>
      </c>
      <c r="J36" s="9">
        <v>9329.7285000000011</v>
      </c>
      <c r="K36" s="9">
        <v>8534.5005000000001</v>
      </c>
      <c r="O36" s="32"/>
      <c r="P36" s="34"/>
      <c r="Q36" s="31"/>
    </row>
    <row r="37" spans="1:24" x14ac:dyDescent="0.25">
      <c r="B37" t="s">
        <v>26</v>
      </c>
      <c r="C37" s="17">
        <v>7751.3</v>
      </c>
      <c r="D37" s="17">
        <v>7992.72</v>
      </c>
      <c r="E37" s="17">
        <v>8234.14</v>
      </c>
      <c r="F37" s="17">
        <v>8475.56</v>
      </c>
      <c r="G37" s="17">
        <v>8716.98</v>
      </c>
      <c r="H37" s="17">
        <v>8958.4</v>
      </c>
      <c r="I37" s="17">
        <v>9199.82</v>
      </c>
      <c r="J37" s="17">
        <v>9441.24</v>
      </c>
      <c r="K37" s="17">
        <v>9682.66</v>
      </c>
      <c r="L37" s="17">
        <v>9924.08</v>
      </c>
      <c r="O37" s="32"/>
      <c r="P37" s="34"/>
      <c r="Q37" s="31"/>
    </row>
    <row r="38" spans="1:24" x14ac:dyDescent="0.25">
      <c r="B38" t="s">
        <v>27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O38" s="32"/>
      <c r="P38" s="34"/>
      <c r="Q38" s="16"/>
    </row>
    <row r="39" spans="1:24" x14ac:dyDescent="0.25">
      <c r="B39" t="s">
        <v>11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O39" s="32"/>
      <c r="P39" s="34"/>
      <c r="Q39" s="16"/>
    </row>
    <row r="40" spans="1:24" x14ac:dyDescent="0.25">
      <c r="K40" s="6"/>
      <c r="O40" s="32"/>
      <c r="P40" s="34"/>
      <c r="Q40" s="17"/>
    </row>
    <row r="41" spans="1:24" x14ac:dyDescent="0.25">
      <c r="A41" t="s">
        <v>46</v>
      </c>
      <c r="C41">
        <v>2015</v>
      </c>
      <c r="D41">
        <v>2016</v>
      </c>
      <c r="E41">
        <v>2017</v>
      </c>
      <c r="F41">
        <v>2018</v>
      </c>
      <c r="G41">
        <v>2019</v>
      </c>
      <c r="H41">
        <v>2020</v>
      </c>
      <c r="I41">
        <v>2021</v>
      </c>
      <c r="J41">
        <v>2022</v>
      </c>
      <c r="K41" s="6">
        <v>2023</v>
      </c>
      <c r="L41">
        <v>2024</v>
      </c>
      <c r="O41" s="32"/>
      <c r="P41" s="34"/>
      <c r="Q41" s="17"/>
    </row>
    <row r="42" spans="1:24" x14ac:dyDescent="0.25">
      <c r="B42" t="s">
        <v>15</v>
      </c>
      <c r="C42" s="15">
        <v>21.742999999999938</v>
      </c>
      <c r="D42" s="15">
        <v>20.719199999999546</v>
      </c>
      <c r="E42" s="15">
        <v>19.695399999999609</v>
      </c>
      <c r="F42" s="15">
        <v>18.671599999999671</v>
      </c>
      <c r="G42" s="15">
        <v>17.647799999999734</v>
      </c>
      <c r="H42" s="15">
        <v>16.623999999999796</v>
      </c>
      <c r="I42" s="15">
        <v>15.600199999999859</v>
      </c>
      <c r="J42" s="15">
        <v>14.576399999999921</v>
      </c>
      <c r="K42" s="15">
        <v>13.552599999999529</v>
      </c>
      <c r="L42" s="15">
        <v>12.528799999999592</v>
      </c>
      <c r="P42" s="34"/>
      <c r="Q42" s="17"/>
    </row>
    <row r="43" spans="1:24" x14ac:dyDescent="0.25">
      <c r="B43" t="s">
        <v>16</v>
      </c>
      <c r="C43" s="15">
        <v>21.742999999999938</v>
      </c>
      <c r="D43" s="15">
        <v>20.719199999999546</v>
      </c>
      <c r="E43" s="15">
        <v>19.695399999999609</v>
      </c>
      <c r="F43" s="15">
        <v>18.671599999999671</v>
      </c>
      <c r="G43" s="15">
        <v>17.647799999999734</v>
      </c>
      <c r="H43" s="15">
        <v>16.623999999999796</v>
      </c>
      <c r="I43" s="15">
        <v>15.600199999999859</v>
      </c>
      <c r="J43" s="15">
        <v>14.576399999999921</v>
      </c>
      <c r="K43" s="15">
        <v>13.552599999999529</v>
      </c>
      <c r="L43" s="15">
        <v>12.528799999999592</v>
      </c>
      <c r="O43" s="33"/>
      <c r="P43" s="34"/>
      <c r="Q43" s="17"/>
    </row>
    <row r="44" spans="1:24" x14ac:dyDescent="0.25">
      <c r="B44" t="s">
        <v>17</v>
      </c>
      <c r="C44" s="15">
        <v>21.742999999999938</v>
      </c>
      <c r="D44" s="15">
        <v>20.719199999999546</v>
      </c>
      <c r="E44" s="15">
        <v>19.695399999999609</v>
      </c>
      <c r="F44" s="15">
        <v>18.671599999999671</v>
      </c>
      <c r="G44" s="15">
        <v>17.647799999999734</v>
      </c>
      <c r="H44" s="15">
        <v>16.623999999999796</v>
      </c>
      <c r="I44" s="15">
        <v>15.600199999999859</v>
      </c>
      <c r="J44" s="15">
        <v>14.576399999999921</v>
      </c>
      <c r="K44" s="15">
        <v>13.552599999999529</v>
      </c>
      <c r="L44" s="15">
        <v>12.528799999999592</v>
      </c>
      <c r="O44" s="35"/>
      <c r="P44" s="34"/>
      <c r="Q44" s="17"/>
    </row>
    <row r="45" spans="1:24" x14ac:dyDescent="0.25">
      <c r="B45" t="s">
        <v>18</v>
      </c>
      <c r="C45" s="15">
        <v>21.742999999999938</v>
      </c>
      <c r="D45" s="15">
        <v>20.719199999999546</v>
      </c>
      <c r="E45" s="15">
        <v>19.695399999999609</v>
      </c>
      <c r="F45" s="15">
        <v>18.671599999999671</v>
      </c>
      <c r="G45" s="15">
        <v>17.647799999999734</v>
      </c>
      <c r="H45" s="15">
        <v>16.623999999999796</v>
      </c>
      <c r="I45" s="15">
        <v>15.600199999999859</v>
      </c>
      <c r="J45" s="15">
        <v>14.576399999999921</v>
      </c>
      <c r="K45" s="15">
        <v>13.552599999999529</v>
      </c>
      <c r="L45" s="15">
        <v>12.528799999999592</v>
      </c>
      <c r="O45" s="35"/>
      <c r="P45" s="34"/>
      <c r="Q45" s="17"/>
    </row>
    <row r="46" spans="1:24" x14ac:dyDescent="0.25">
      <c r="B46" t="s">
        <v>19</v>
      </c>
      <c r="C46" s="30">
        <v>41.216500000000003</v>
      </c>
      <c r="D46" s="30">
        <v>39.357599999999998</v>
      </c>
      <c r="E46" s="30">
        <v>37.498699999999999</v>
      </c>
      <c r="F46" s="30">
        <v>35.639800000000001</v>
      </c>
      <c r="G46" s="30">
        <v>33.780900000000003</v>
      </c>
      <c r="H46" s="30">
        <v>31.922000000000001</v>
      </c>
      <c r="I46" s="30">
        <v>30.063099999999999</v>
      </c>
      <c r="J46" s="30">
        <v>28.2042</v>
      </c>
      <c r="K46" s="30">
        <v>26.345300000000002</v>
      </c>
      <c r="L46" s="30">
        <v>24.4864</v>
      </c>
      <c r="O46" s="35"/>
      <c r="P46" s="17"/>
      <c r="Q46" s="17"/>
    </row>
    <row r="47" spans="1:24" x14ac:dyDescent="0.25">
      <c r="B47" t="s">
        <v>20</v>
      </c>
      <c r="C47" s="30">
        <v>41.216500000000003</v>
      </c>
      <c r="D47" s="30">
        <v>39.357599999999998</v>
      </c>
      <c r="E47" s="30">
        <v>37.498699999999999</v>
      </c>
      <c r="F47" s="30">
        <v>35.639800000000001</v>
      </c>
      <c r="G47" s="30">
        <v>33.780900000000003</v>
      </c>
      <c r="H47" s="30">
        <v>31.922000000000001</v>
      </c>
      <c r="I47" s="30">
        <v>30.063099999999999</v>
      </c>
      <c r="J47" s="30">
        <v>28.2042</v>
      </c>
      <c r="K47" s="30">
        <v>26.345300000000002</v>
      </c>
      <c r="L47" s="30">
        <v>24.4864</v>
      </c>
      <c r="O47" s="35"/>
      <c r="P47" s="17"/>
      <c r="Q47" s="17"/>
    </row>
    <row r="48" spans="1:24" x14ac:dyDescent="0.25">
      <c r="B48" t="s">
        <v>21</v>
      </c>
      <c r="C48" s="30">
        <v>41.216500000000003</v>
      </c>
      <c r="D48" s="30">
        <v>39.357599999999998</v>
      </c>
      <c r="E48" s="30">
        <v>37.498699999999999</v>
      </c>
      <c r="F48" s="30">
        <v>35.639800000000001</v>
      </c>
      <c r="G48" s="30">
        <v>33.780900000000003</v>
      </c>
      <c r="H48" s="30">
        <v>31.922000000000001</v>
      </c>
      <c r="I48" s="30">
        <v>30.063099999999999</v>
      </c>
      <c r="J48" s="30">
        <v>28.2042</v>
      </c>
      <c r="K48" s="30">
        <v>26.345300000000002</v>
      </c>
      <c r="L48" s="30">
        <v>24.4864</v>
      </c>
      <c r="O48" s="35"/>
      <c r="P48" s="19"/>
      <c r="Q48" s="19"/>
      <c r="R48" s="19"/>
      <c r="S48" s="19"/>
      <c r="T48" s="19"/>
      <c r="U48" s="19"/>
      <c r="V48" s="19"/>
      <c r="W48" s="19"/>
      <c r="X48" s="19"/>
    </row>
    <row r="49" spans="2:24" x14ac:dyDescent="0.25">
      <c r="B49" t="s">
        <v>22</v>
      </c>
      <c r="C49" s="30">
        <v>41.216500000000003</v>
      </c>
      <c r="D49" s="30">
        <v>39.357599999999998</v>
      </c>
      <c r="E49" s="30">
        <v>37.498699999999999</v>
      </c>
      <c r="F49" s="30">
        <v>35.639800000000001</v>
      </c>
      <c r="G49" s="30">
        <v>33.780900000000003</v>
      </c>
      <c r="H49" s="30">
        <v>31.922000000000001</v>
      </c>
      <c r="I49" s="30">
        <v>30.063099999999999</v>
      </c>
      <c r="J49" s="30">
        <v>28.2042</v>
      </c>
      <c r="K49" s="30">
        <v>26.345300000000002</v>
      </c>
      <c r="L49" s="30">
        <v>24.4864</v>
      </c>
      <c r="O49" s="35"/>
      <c r="P49" s="20"/>
      <c r="Q49" s="20"/>
      <c r="R49" s="20"/>
      <c r="S49" s="20"/>
      <c r="T49" s="20"/>
      <c r="U49" s="20"/>
      <c r="V49" s="20"/>
      <c r="W49" s="20"/>
      <c r="X49" s="20"/>
    </row>
    <row r="50" spans="2:24" x14ac:dyDescent="0.25">
      <c r="B50" t="s">
        <v>23</v>
      </c>
      <c r="C50" s="37">
        <v>103.22299999999996</v>
      </c>
      <c r="D50" s="37">
        <v>99.671200000000681</v>
      </c>
      <c r="E50" s="37">
        <v>96.119400000000496</v>
      </c>
      <c r="F50" s="37">
        <v>92.567600000000311</v>
      </c>
      <c r="G50" s="37">
        <v>89.015800000000127</v>
      </c>
      <c r="H50" s="37">
        <v>85.463999999999942</v>
      </c>
      <c r="I50" s="37">
        <v>81.912200000000666</v>
      </c>
      <c r="J50" s="37">
        <v>78.360400000000482</v>
      </c>
      <c r="K50" s="37">
        <v>74.808600000000297</v>
      </c>
      <c r="L50" s="37">
        <v>71.256800000000112</v>
      </c>
      <c r="O50" s="35"/>
      <c r="P50" s="20"/>
      <c r="Q50" s="20"/>
      <c r="R50" s="20"/>
      <c r="S50" s="20"/>
      <c r="T50" s="20"/>
      <c r="U50" s="20"/>
      <c r="V50" s="20"/>
      <c r="W50" s="20"/>
      <c r="X50" s="20"/>
    </row>
    <row r="51" spans="2:24" x14ac:dyDescent="0.25">
      <c r="B51" t="s">
        <v>24</v>
      </c>
      <c r="C51" s="33">
        <v>55.520499999999629</v>
      </c>
      <c r="D51" s="33">
        <v>59.435199999998986</v>
      </c>
      <c r="E51" s="33">
        <v>63.349899999999252</v>
      </c>
      <c r="F51" s="33">
        <v>67.264599999999518</v>
      </c>
      <c r="G51" s="33">
        <v>71.179299999998875</v>
      </c>
      <c r="H51" s="33">
        <v>75.093999999999141</v>
      </c>
      <c r="I51" s="33">
        <v>79.008699999999408</v>
      </c>
      <c r="J51" s="33">
        <v>82.923399999999674</v>
      </c>
      <c r="K51" s="33">
        <v>86.838099999999031</v>
      </c>
      <c r="L51" s="33">
        <v>90.752799999999297</v>
      </c>
      <c r="O51" s="35"/>
    </row>
    <row r="52" spans="2:24" x14ac:dyDescent="0.25">
      <c r="B52" t="s">
        <v>25</v>
      </c>
      <c r="C52" s="35">
        <v>69.164499999999975</v>
      </c>
      <c r="D52" s="35">
        <v>69.488799999999969</v>
      </c>
      <c r="E52" s="35">
        <v>69.813099999999963</v>
      </c>
      <c r="F52" s="35">
        <v>70.137399999999957</v>
      </c>
      <c r="G52" s="35">
        <v>70.461699999999951</v>
      </c>
      <c r="H52" s="35">
        <v>70.785999999999945</v>
      </c>
      <c r="I52" s="35">
        <v>71.110300000000052</v>
      </c>
      <c r="J52" s="35">
        <v>71.434600000000046</v>
      </c>
      <c r="K52" s="35">
        <v>71.75890000000004</v>
      </c>
      <c r="L52" s="35">
        <v>72.083200000000033</v>
      </c>
      <c r="O52" s="35"/>
    </row>
    <row r="53" spans="2:24" x14ac:dyDescent="0.25">
      <c r="B53" t="s">
        <v>8</v>
      </c>
      <c r="C53" s="16">
        <v>96.808000000000902</v>
      </c>
      <c r="D53" s="16">
        <v>101.19520000000011</v>
      </c>
      <c r="E53" s="16">
        <v>105.58240000000114</v>
      </c>
      <c r="F53" s="16">
        <v>109.96960000000036</v>
      </c>
      <c r="G53" s="16">
        <v>114.35679999999957</v>
      </c>
      <c r="H53" s="16">
        <v>118.7440000000006</v>
      </c>
      <c r="I53" s="16">
        <v>123.13119999999981</v>
      </c>
      <c r="J53" s="16">
        <v>127.51840000000084</v>
      </c>
      <c r="K53" s="16">
        <v>131.90560000000005</v>
      </c>
      <c r="L53" s="16">
        <v>136.29280000000108</v>
      </c>
      <c r="O53" s="35"/>
    </row>
    <row r="54" spans="2:24" x14ac:dyDescent="0.25">
      <c r="B54" t="s">
        <v>9</v>
      </c>
      <c r="C54" s="12">
        <v>341.22854799999999</v>
      </c>
      <c r="D54" s="12">
        <v>347.74184400000001</v>
      </c>
      <c r="E54" s="12">
        <v>336.60865200000001</v>
      </c>
      <c r="F54" s="12">
        <v>323.08977599999997</v>
      </c>
      <c r="G54" s="12">
        <v>335.66195200000004</v>
      </c>
      <c r="H54" s="12">
        <v>318.92429600000003</v>
      </c>
      <c r="I54" s="12">
        <v>323.77140000000003</v>
      </c>
      <c r="J54" s="12">
        <v>373.18914000000007</v>
      </c>
      <c r="K54" s="12">
        <v>341.38002</v>
      </c>
    </row>
    <row r="55" spans="2:24" x14ac:dyDescent="0.25">
      <c r="B55" t="s">
        <v>26</v>
      </c>
      <c r="C55" s="17">
        <v>338.95499999999998</v>
      </c>
      <c r="D55" s="17">
        <v>314.15199999999999</v>
      </c>
      <c r="E55" s="17">
        <v>289.34899999999999</v>
      </c>
      <c r="F55" s="17">
        <v>264.54599999999999</v>
      </c>
      <c r="G55" s="17">
        <v>239.74299999999999</v>
      </c>
      <c r="H55" s="17">
        <v>214.94</v>
      </c>
      <c r="I55" s="17">
        <v>190.137</v>
      </c>
      <c r="J55" s="17">
        <v>165.334</v>
      </c>
      <c r="K55" s="17">
        <v>140.53100000000001</v>
      </c>
      <c r="L55" s="17">
        <v>115.72799999999999</v>
      </c>
    </row>
    <row r="56" spans="2:24" x14ac:dyDescent="0.25">
      <c r="B56" t="s">
        <v>27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</row>
    <row r="57" spans="2:24" x14ac:dyDescent="0.25">
      <c r="B57" t="s">
        <v>11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466-D62E-442E-9342-2BE61F4CCBEF}">
  <dimension ref="A4:X26"/>
  <sheetViews>
    <sheetView workbookViewId="0">
      <selection activeCell="V24" sqref="V24"/>
    </sheetView>
  </sheetViews>
  <sheetFormatPr baseColWidth="10" defaultColWidth="9.140625" defaultRowHeight="15" x14ac:dyDescent="0.25"/>
  <cols>
    <col min="1" max="1" width="24.7109375" bestFit="1" customWidth="1"/>
    <col min="2" max="2" width="12.7109375" bestFit="1" customWidth="1"/>
    <col min="3" max="3" width="9.7109375" bestFit="1" customWidth="1"/>
    <col min="5" max="5" width="12.28515625" bestFit="1" customWidth="1"/>
  </cols>
  <sheetData>
    <row r="4" spans="1:17" x14ac:dyDescent="0.25">
      <c r="C4" t="s">
        <v>31</v>
      </c>
      <c r="D4" t="s">
        <v>37</v>
      </c>
      <c r="E4" t="s">
        <v>33</v>
      </c>
      <c r="F4" t="s">
        <v>47</v>
      </c>
    </row>
    <row r="5" spans="1:17" x14ac:dyDescent="0.25">
      <c r="B5" t="s">
        <v>28</v>
      </c>
      <c r="C5" s="2">
        <v>0.77500000000000002</v>
      </c>
      <c r="D5" s="1">
        <v>0.97</v>
      </c>
      <c r="E5" s="5">
        <v>80</v>
      </c>
      <c r="F5" s="5">
        <v>20</v>
      </c>
    </row>
    <row r="6" spans="1:17" x14ac:dyDescent="0.25">
      <c r="B6" t="s">
        <v>29</v>
      </c>
      <c r="C6" s="2">
        <v>0.85</v>
      </c>
      <c r="D6" s="1">
        <v>0.99</v>
      </c>
      <c r="E6" s="5">
        <v>11</v>
      </c>
      <c r="F6" s="5">
        <v>2</v>
      </c>
    </row>
    <row r="9" spans="1:17" x14ac:dyDescent="0.25">
      <c r="A9" t="s">
        <v>42</v>
      </c>
      <c r="C9">
        <v>2015</v>
      </c>
      <c r="D9">
        <v>2016</v>
      </c>
      <c r="E9">
        <v>2017</v>
      </c>
      <c r="F9">
        <v>2018</v>
      </c>
      <c r="G9">
        <v>2019</v>
      </c>
      <c r="H9">
        <v>2020</v>
      </c>
      <c r="I9">
        <v>2021</v>
      </c>
      <c r="J9">
        <v>2022</v>
      </c>
      <c r="K9">
        <v>2023</v>
      </c>
      <c r="L9">
        <v>2024</v>
      </c>
    </row>
    <row r="10" spans="1:17" x14ac:dyDescent="0.25">
      <c r="B10" t="s">
        <v>28</v>
      </c>
      <c r="C10" s="25">
        <v>1928.6100000000151</v>
      </c>
      <c r="D10" s="25">
        <v>2023.3839999999909</v>
      </c>
      <c r="E10" s="25">
        <v>2118.1579999999958</v>
      </c>
      <c r="F10" s="25">
        <v>2212.9320000000007</v>
      </c>
      <c r="G10" s="25">
        <v>2307.7060000000056</v>
      </c>
      <c r="H10" s="25">
        <v>2402.4800000000105</v>
      </c>
      <c r="I10" s="25">
        <v>2497.2540000000154</v>
      </c>
      <c r="J10" s="25">
        <v>2592.0279999999912</v>
      </c>
      <c r="K10" s="25">
        <v>2686.801999999996</v>
      </c>
      <c r="L10" s="25">
        <v>2781.5760000000009</v>
      </c>
    </row>
    <row r="11" spans="1:17" x14ac:dyDescent="0.25">
      <c r="B11" t="s">
        <v>29</v>
      </c>
      <c r="C11" s="25">
        <v>1890.7149999999999</v>
      </c>
      <c r="D11" s="25">
        <v>1856.6959999999999</v>
      </c>
      <c r="E11" s="25">
        <v>1822.6769999999999</v>
      </c>
      <c r="F11" s="25">
        <v>1788.6579999999999</v>
      </c>
      <c r="G11" s="25">
        <v>1754.6389999999999</v>
      </c>
      <c r="H11" s="25">
        <v>1720.62</v>
      </c>
      <c r="I11" s="25">
        <v>1686.6010000000001</v>
      </c>
      <c r="J11" s="25">
        <v>1652.5820000000001</v>
      </c>
      <c r="K11" s="25">
        <v>1618.5630000000001</v>
      </c>
      <c r="L11" s="25">
        <v>1584.5440000000001</v>
      </c>
      <c r="P11" s="25"/>
      <c r="Q11" s="25"/>
    </row>
    <row r="12" spans="1:17" x14ac:dyDescent="0.25">
      <c r="P12" s="25"/>
      <c r="Q12" s="25"/>
    </row>
    <row r="13" spans="1:17" x14ac:dyDescent="0.25">
      <c r="P13" s="25"/>
      <c r="Q13" s="25"/>
    </row>
    <row r="14" spans="1:17" x14ac:dyDescent="0.25">
      <c r="A14" t="s">
        <v>43</v>
      </c>
      <c r="C14">
        <v>2015</v>
      </c>
      <c r="D14">
        <v>2016</v>
      </c>
      <c r="E14">
        <v>2017</v>
      </c>
      <c r="F14">
        <v>2018</v>
      </c>
      <c r="G14">
        <v>2019</v>
      </c>
      <c r="H14">
        <v>2020</v>
      </c>
      <c r="I14">
        <v>2021</v>
      </c>
      <c r="J14">
        <v>2022</v>
      </c>
      <c r="K14">
        <v>2023</v>
      </c>
      <c r="L14">
        <v>2024</v>
      </c>
      <c r="P14" s="25"/>
      <c r="Q14" s="25"/>
    </row>
    <row r="15" spans="1:17" x14ac:dyDescent="0.25">
      <c r="B15" t="s">
        <v>28</v>
      </c>
      <c r="C15" s="25">
        <v>166.3114999999998</v>
      </c>
      <c r="D15" s="25">
        <v>165.66559999999981</v>
      </c>
      <c r="E15" s="25">
        <v>165.01969999999983</v>
      </c>
      <c r="F15" s="25">
        <v>164.37379999999985</v>
      </c>
      <c r="G15" s="25">
        <v>163.72789999999986</v>
      </c>
      <c r="H15" s="25">
        <v>163.08199999999988</v>
      </c>
      <c r="I15" s="25">
        <v>162.4360999999999</v>
      </c>
      <c r="J15" s="25">
        <v>161.79019999999991</v>
      </c>
      <c r="K15" s="25">
        <v>161.14429999999993</v>
      </c>
      <c r="L15" s="25">
        <v>160.49839999999995</v>
      </c>
      <c r="P15" s="25"/>
      <c r="Q15" s="25"/>
    </row>
    <row r="16" spans="1:17" x14ac:dyDescent="0.25">
      <c r="B16" t="s">
        <v>29</v>
      </c>
      <c r="C16" s="25">
        <v>802.79</v>
      </c>
      <c r="D16" s="25">
        <v>735.57600000000002</v>
      </c>
      <c r="E16" s="25">
        <v>668.36199999999997</v>
      </c>
      <c r="F16" s="25">
        <v>601.14800000000002</v>
      </c>
      <c r="G16" s="25">
        <v>533.93399999999997</v>
      </c>
      <c r="H16" s="25">
        <v>466.72</v>
      </c>
      <c r="I16" s="25">
        <v>399.50599999999997</v>
      </c>
      <c r="J16" s="25">
        <v>332.29199999999997</v>
      </c>
      <c r="K16" s="25">
        <v>265.07799999999997</v>
      </c>
      <c r="L16" s="25">
        <v>197.864</v>
      </c>
      <c r="P16" s="25"/>
      <c r="Q16" s="25"/>
    </row>
    <row r="17" spans="1:24" x14ac:dyDescent="0.25">
      <c r="P17" s="25"/>
      <c r="Q17" s="25"/>
    </row>
    <row r="18" spans="1:24" x14ac:dyDescent="0.25">
      <c r="P18" s="25"/>
      <c r="Q18" s="25"/>
    </row>
    <row r="19" spans="1:24" x14ac:dyDescent="0.25">
      <c r="A19" t="s">
        <v>44</v>
      </c>
      <c r="C19">
        <v>2015</v>
      </c>
      <c r="D19">
        <v>2016</v>
      </c>
      <c r="E19">
        <v>2017</v>
      </c>
      <c r="F19">
        <v>2018</v>
      </c>
      <c r="G19">
        <v>2019</v>
      </c>
      <c r="H19">
        <v>2020</v>
      </c>
      <c r="I19">
        <v>2021</v>
      </c>
      <c r="J19">
        <v>2022</v>
      </c>
      <c r="K19">
        <v>2023</v>
      </c>
      <c r="L19">
        <v>2024</v>
      </c>
      <c r="P19" s="25"/>
      <c r="Q19" s="25"/>
    </row>
    <row r="20" spans="1:24" x14ac:dyDescent="0.25">
      <c r="B20" t="s">
        <v>28</v>
      </c>
      <c r="C20" s="37">
        <v>6</v>
      </c>
      <c r="D20" s="37">
        <v>6</v>
      </c>
      <c r="E20" s="37">
        <v>6</v>
      </c>
      <c r="F20" s="37">
        <v>6</v>
      </c>
      <c r="G20" s="37">
        <v>6</v>
      </c>
      <c r="H20" s="37">
        <v>6</v>
      </c>
      <c r="I20" s="37">
        <v>6</v>
      </c>
      <c r="J20" s="37">
        <v>6</v>
      </c>
      <c r="K20" s="37">
        <v>6</v>
      </c>
      <c r="L20" s="37">
        <v>6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x14ac:dyDescent="0.25">
      <c r="B21" t="s">
        <v>29</v>
      </c>
      <c r="C21" s="37">
        <v>2</v>
      </c>
      <c r="D21" s="37">
        <v>2</v>
      </c>
      <c r="E21" s="37">
        <v>2</v>
      </c>
      <c r="F21" s="37">
        <v>2</v>
      </c>
      <c r="G21" s="37">
        <v>2</v>
      </c>
      <c r="H21" s="37">
        <v>2</v>
      </c>
      <c r="I21" s="37">
        <v>2</v>
      </c>
      <c r="J21" s="37">
        <v>2</v>
      </c>
      <c r="K21" s="37">
        <v>2</v>
      </c>
      <c r="L21" s="37">
        <v>2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4" spans="1:24" x14ac:dyDescent="0.25">
      <c r="A24" t="s">
        <v>45</v>
      </c>
      <c r="C24">
        <v>2015</v>
      </c>
      <c r="D24">
        <v>2016</v>
      </c>
      <c r="E24">
        <v>2017</v>
      </c>
      <c r="F24">
        <v>2018</v>
      </c>
      <c r="G24">
        <v>2019</v>
      </c>
      <c r="H24">
        <v>2020</v>
      </c>
      <c r="I24">
        <v>2021</v>
      </c>
      <c r="J24">
        <v>2022</v>
      </c>
      <c r="K24">
        <v>2023</v>
      </c>
      <c r="L24">
        <v>2024</v>
      </c>
    </row>
    <row r="25" spans="1:24" x14ac:dyDescent="0.25">
      <c r="B25" t="s">
        <v>28</v>
      </c>
      <c r="C25">
        <v>0.75</v>
      </c>
      <c r="D25" s="13">
        <v>0.75</v>
      </c>
      <c r="E25" s="13">
        <v>0.75</v>
      </c>
      <c r="F25" s="13">
        <v>0.75</v>
      </c>
      <c r="G25" s="13">
        <v>0.75</v>
      </c>
      <c r="H25" s="13">
        <v>0.75</v>
      </c>
      <c r="I25" s="13">
        <v>0.75</v>
      </c>
      <c r="J25" s="13">
        <v>0.75</v>
      </c>
      <c r="K25" s="13">
        <v>0.75</v>
      </c>
      <c r="L25" s="13">
        <v>0.75</v>
      </c>
    </row>
    <row r="26" spans="1:24" x14ac:dyDescent="0.25">
      <c r="B26" t="s">
        <v>29</v>
      </c>
      <c r="C26">
        <v>0.9</v>
      </c>
      <c r="D26" s="13">
        <v>0.9</v>
      </c>
      <c r="E26" s="13">
        <v>0.9</v>
      </c>
      <c r="F26" s="13">
        <v>0.9</v>
      </c>
      <c r="G26" s="13">
        <v>0.9</v>
      </c>
      <c r="H26" s="13">
        <v>0.9</v>
      </c>
      <c r="I26" s="13">
        <v>0.9</v>
      </c>
      <c r="J26" s="13">
        <v>0.9</v>
      </c>
      <c r="K26" s="13">
        <v>0.9</v>
      </c>
      <c r="L26" s="13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0AB-8EA7-401B-9C9C-5085E44C8BC7}">
  <dimension ref="C3:D15"/>
  <sheetViews>
    <sheetView workbookViewId="0">
      <selection activeCell="J14" sqref="J14"/>
    </sheetView>
  </sheetViews>
  <sheetFormatPr baseColWidth="10" defaultColWidth="9.140625" defaultRowHeight="15" x14ac:dyDescent="0.25"/>
  <sheetData>
    <row r="3" spans="3:4" x14ac:dyDescent="0.25">
      <c r="C3" t="s">
        <v>30</v>
      </c>
    </row>
    <row r="6" spans="3:4" x14ac:dyDescent="0.25">
      <c r="C6">
        <v>2015</v>
      </c>
      <c r="D6">
        <v>7.5</v>
      </c>
    </row>
    <row r="7" spans="3:4" x14ac:dyDescent="0.25">
      <c r="C7">
        <v>2016</v>
      </c>
      <c r="D7">
        <v>8</v>
      </c>
    </row>
    <row r="8" spans="3:4" x14ac:dyDescent="0.25">
      <c r="C8">
        <v>2017</v>
      </c>
      <c r="D8">
        <v>5.8</v>
      </c>
    </row>
    <row r="9" spans="3:4" x14ac:dyDescent="0.25">
      <c r="C9">
        <v>2018</v>
      </c>
      <c r="D9">
        <v>15</v>
      </c>
    </row>
    <row r="10" spans="3:4" x14ac:dyDescent="0.25">
      <c r="C10">
        <v>2019</v>
      </c>
      <c r="D10">
        <v>24.9</v>
      </c>
    </row>
    <row r="11" spans="3:4" x14ac:dyDescent="0.25">
      <c r="C11">
        <v>2020</v>
      </c>
      <c r="D11">
        <v>24.8</v>
      </c>
    </row>
    <row r="12" spans="3:4" x14ac:dyDescent="0.25">
      <c r="C12">
        <v>2021</v>
      </c>
      <c r="D12">
        <v>52.9</v>
      </c>
    </row>
    <row r="13" spans="3:4" x14ac:dyDescent="0.25">
      <c r="C13">
        <v>2022</v>
      </c>
      <c r="D13">
        <v>79.7</v>
      </c>
    </row>
    <row r="14" spans="3:4" x14ac:dyDescent="0.25">
      <c r="C14">
        <v>2023</v>
      </c>
      <c r="D14">
        <v>83.3</v>
      </c>
    </row>
    <row r="15" spans="3:4" x14ac:dyDescent="0.25">
      <c r="C15">
        <v>2024</v>
      </c>
      <c r="D15">
        <v>67.534999999999997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fuel_conv</vt:lpstr>
      <vt:lpstr>fuel_renew</vt:lpstr>
      <vt:lpstr>tech_conv</vt:lpstr>
      <vt:lpstr>outages_conv</vt:lpstr>
      <vt:lpstr>tech_renew</vt:lpstr>
      <vt:lpstr>tech_stor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Gams_Froehlich</dc:creator>
  <cp:lastModifiedBy>Pascal Fröhlich</cp:lastModifiedBy>
  <dcterms:created xsi:type="dcterms:W3CDTF">2024-09-17T09:01:26Z</dcterms:created>
  <dcterms:modified xsi:type="dcterms:W3CDTF">2026-06-01T07:18:05Z</dcterms:modified>
</cp:coreProperties>
</file>