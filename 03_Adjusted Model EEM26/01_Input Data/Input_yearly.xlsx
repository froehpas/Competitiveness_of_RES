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öhlich\EEM26\v2\RES\European\"/>
    </mc:Choice>
  </mc:AlternateContent>
  <xr:revisionPtr revIDLastSave="0" documentId="13_ncr:1_{A214A568-5F1A-4743-8F64-339632719650}" xr6:coauthVersionLast="36" xr6:coauthVersionMax="36" xr10:uidLastSave="{00000000-0000-0000-0000-000000000000}"/>
  <bookViews>
    <workbookView xWindow="0" yWindow="0" windowWidth="28800" windowHeight="12225" activeTab="7" xr2:uid="{9BA085BD-A4BD-4D3B-9BBD-ABB9433EC046}"/>
  </bookViews>
  <sheets>
    <sheet name="fuel_conv" sheetId="1" r:id="rId1"/>
    <sheet name="fuel_renew" sheetId="2" r:id="rId2"/>
    <sheet name="tech_conv" sheetId="3" r:id="rId3"/>
    <sheet name="tech_renew" sheetId="4" r:id="rId4"/>
    <sheet name="tech_stor" sheetId="5" r:id="rId5"/>
    <sheet name="co2" sheetId="6" r:id="rId6"/>
    <sheet name="ntc" sheetId="11" r:id="rId7"/>
    <sheet name="targets" sheetId="16" r:id="rId8"/>
    <sheet name="cap_hydro" sheetId="17" r:id="rId9"/>
    <sheet name="cap_pumpstor" sheetId="18" r:id="rId10"/>
    <sheet name="cap_conv" sheetId="15" r:id="rId11"/>
    <sheet name="#cap_renew" sheetId="12" r:id="rId12"/>
    <sheet name="#cap_stor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3" i="16" l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4" i="16"/>
  <c r="I5" i="16" l="1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4" i="16"/>
</calcChain>
</file>

<file path=xl/sharedStrings.xml><?xml version="1.0" encoding="utf-8"?>
<sst xmlns="http://schemas.openxmlformats.org/spreadsheetml/2006/main" count="579" uniqueCount="97">
  <si>
    <t>fuelprice</t>
  </si>
  <si>
    <t>uranium</t>
  </si>
  <si>
    <t>lignite</t>
  </si>
  <si>
    <t>hardcoal</t>
  </si>
  <si>
    <t>gas</t>
  </si>
  <si>
    <t>solar</t>
  </si>
  <si>
    <t>wind</t>
  </si>
  <si>
    <t>hydro</t>
  </si>
  <si>
    <t>bioenergy</t>
  </si>
  <si>
    <t>waste</t>
  </si>
  <si>
    <t>nuclear</t>
  </si>
  <si>
    <t>ccgt</t>
  </si>
  <si>
    <t>ocgt</t>
  </si>
  <si>
    <t>windoffshore</t>
  </si>
  <si>
    <t>runofriver</t>
  </si>
  <si>
    <t>reservoir</t>
  </si>
  <si>
    <t>geothermal</t>
  </si>
  <si>
    <t>pumpstorage</t>
  </si>
  <si>
    <t>battery</t>
  </si>
  <si>
    <t>carbonprice</t>
  </si>
  <si>
    <t>efficiency</t>
  </si>
  <si>
    <t>gmin</t>
  </si>
  <si>
    <t>lifetime_eco</t>
  </si>
  <si>
    <t>startup_fuelconsumption</t>
  </si>
  <si>
    <t>startup_fixcost</t>
  </si>
  <si>
    <t>avail</t>
  </si>
  <si>
    <t>carboncontent</t>
  </si>
  <si>
    <t>oil</t>
  </si>
  <si>
    <t>renew_disp</t>
  </si>
  <si>
    <t>covernight_kW</t>
  </si>
  <si>
    <t>storageduration</t>
  </si>
  <si>
    <t>discharge_to_charge_ratio</t>
  </si>
  <si>
    <t>windonshore</t>
  </si>
  <si>
    <t xml:space="preserve">oil </t>
  </si>
  <si>
    <t>ccapital €/kW</t>
  </si>
  <si>
    <t>AL</t>
  </si>
  <si>
    <t>AT</t>
  </si>
  <si>
    <t>BE</t>
  </si>
  <si>
    <t>BA</t>
  </si>
  <si>
    <t>BG</t>
  </si>
  <si>
    <t>HR</t>
  </si>
  <si>
    <t>CZ</t>
  </si>
  <si>
    <t>DK1</t>
  </si>
  <si>
    <t>DK2</t>
  </si>
  <si>
    <t>EE</t>
  </si>
  <si>
    <t>FI</t>
  </si>
  <si>
    <t>FR</t>
  </si>
  <si>
    <t>GE</t>
  </si>
  <si>
    <t>DE</t>
  </si>
  <si>
    <t>GR</t>
  </si>
  <si>
    <t>HU</t>
  </si>
  <si>
    <t>IE</t>
  </si>
  <si>
    <t>IT1</t>
  </si>
  <si>
    <t>IT2</t>
  </si>
  <si>
    <t>IT3</t>
  </si>
  <si>
    <t>IT4</t>
  </si>
  <si>
    <t>IT5</t>
  </si>
  <si>
    <t>IT6</t>
  </si>
  <si>
    <t>IT7</t>
  </si>
  <si>
    <t>XK</t>
  </si>
  <si>
    <t>LV</t>
  </si>
  <si>
    <t>LT</t>
  </si>
  <si>
    <t>ME</t>
  </si>
  <si>
    <t>NL</t>
  </si>
  <si>
    <t>MK</t>
  </si>
  <si>
    <t>NO1</t>
  </si>
  <si>
    <t>NO2</t>
  </si>
  <si>
    <t>NO3</t>
  </si>
  <si>
    <t>NO4</t>
  </si>
  <si>
    <t>NO5</t>
  </si>
  <si>
    <t>PL</t>
  </si>
  <si>
    <t>PT</t>
  </si>
  <si>
    <t>RO</t>
  </si>
  <si>
    <t>RS</t>
  </si>
  <si>
    <t>SK</t>
  </si>
  <si>
    <t>SI</t>
  </si>
  <si>
    <t>ES</t>
  </si>
  <si>
    <t>SE1</t>
  </si>
  <si>
    <t>SE2</t>
  </si>
  <si>
    <t>SE3</t>
  </si>
  <si>
    <t>SE4</t>
  </si>
  <si>
    <t>CH</t>
  </si>
  <si>
    <t>GB</t>
  </si>
  <si>
    <t>renew_ndisp</t>
  </si>
  <si>
    <t>% satz von CCGT zu OCGT:</t>
  </si>
  <si>
    <t>gas overall</t>
  </si>
  <si>
    <t>https://www.oecd.org/en/publications/energy-prices-and-subsidies-in-the-western-balkans_082ea26a-en/full-report/energy-prices-and-subsidies-in-north-macedonia_1c2d445d.html?utm_source=chatgpt.com</t>
  </si>
  <si>
    <t>MK:</t>
  </si>
  <si>
    <t>TWh</t>
  </si>
  <si>
    <t>MWh</t>
  </si>
  <si>
    <t>%</t>
  </si>
  <si>
    <t>EU</t>
  </si>
  <si>
    <t>covernight €/kW</t>
  </si>
  <si>
    <t>covernight_€/MWh</t>
  </si>
  <si>
    <t>biomass</t>
  </si>
  <si>
    <t>cvarom €/kWh/a</t>
  </si>
  <si>
    <t>efficiency_min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</si>
</sst>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\ _€_-;\-* #,##0.00\ _€_-;_-* &quot;-&quot;??\ _€_-;_-@_-"/>
    <numFmt numFmtId="164" formatCode="_-* #,##0\ _€_-;\-* #,##0\ _€_-;_-* &quot;-&quot;??\ _€_-;_-@_-"/>
    <numFmt numFmtId="165" formatCode="_-* #,##0.00_-;\-* #,##0.00_-;_-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9" fontId="0" fillId="0" borderId="0" xfId="0" applyNumberFormat="1"/>
    <xf numFmtId="9" fontId="0" fillId="0" borderId="0" xfId="1" applyFont="1"/>
    <xf numFmtId="9" fontId="2" fillId="0" borderId="0" xfId="0" applyNumberFormat="1" applyFont="1"/>
    <xf numFmtId="9" fontId="2" fillId="0" borderId="0" xfId="1" applyFont="1"/>
    <xf numFmtId="164" fontId="0" fillId="0" borderId="0" xfId="2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3" fontId="0" fillId="0" borderId="0" xfId="2" applyFont="1"/>
    <xf numFmtId="0" fontId="0" fillId="0" borderId="0" xfId="0" applyFont="1"/>
    <xf numFmtId="0" fontId="0" fillId="0" borderId="0" xfId="0"/>
    <xf numFmtId="166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1" applyNumberFormat="1" applyFont="1"/>
    <xf numFmtId="0" fontId="2" fillId="0" borderId="0" xfId="1" applyNumberFormat="1" applyFont="1"/>
    <xf numFmtId="0" fontId="0" fillId="0" borderId="0" xfId="0"/>
  </cellXfs>
  <cellStyles count="8">
    <cellStyle name="Komma 2" xfId="2" xr:uid="{AF1FA308-5BB0-4765-9052-001723E4E16E}"/>
    <cellStyle name="Komma 2 2" xfId="6" xr:uid="{546B1FA4-ED3D-4CCF-BFB1-6934F261636D}"/>
    <cellStyle name="Komma 2 2 2" xfId="7" xr:uid="{C0449768-2484-446A-AB6E-F20247C009BA}"/>
    <cellStyle name="Normal 2" xfId="4" xr:uid="{098744FE-9844-4518-A91E-00A8F4258A86}"/>
    <cellStyle name="Normal 2 2" xfId="5" xr:uid="{FCD300CD-8039-44DF-B12D-F1531F7C3F26}"/>
    <cellStyle name="Normal 3" xfId="3" xr:uid="{FA51F745-E432-4830-B289-30C69457E580}"/>
    <cellStyle name="Prozent" xfId="1" builtinId="5"/>
    <cellStyle name="Standard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Table Style 1" pivot="0" count="2" xr9:uid="{A8198BE0-7EDE-4D78-BA25-EBD3A883C9B0}"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E75-70D6-4C19-A2E6-F011C88AB99E}">
  <dimension ref="A4:W25"/>
  <sheetViews>
    <sheetView workbookViewId="0">
      <selection activeCell="E5" sqref="E5"/>
    </sheetView>
  </sheetViews>
  <sheetFormatPr baseColWidth="10" defaultColWidth="9.140625" defaultRowHeight="15" x14ac:dyDescent="0.25"/>
  <cols>
    <col min="12" max="12" width="7.85546875" bestFit="1" customWidth="1"/>
  </cols>
  <sheetData>
    <row r="4" spans="2:23" x14ac:dyDescent="0.25">
      <c r="B4" t="s">
        <v>0</v>
      </c>
      <c r="D4" t="s">
        <v>1</v>
      </c>
      <c r="E4" t="s">
        <v>2</v>
      </c>
      <c r="F4" t="s">
        <v>3</v>
      </c>
      <c r="G4" t="s">
        <v>4</v>
      </c>
      <c r="H4" t="s">
        <v>33</v>
      </c>
    </row>
    <row r="5" spans="2:23" x14ac:dyDescent="0.25">
      <c r="C5">
        <v>2030</v>
      </c>
      <c r="D5" s="37">
        <v>3.6</v>
      </c>
      <c r="E5" s="37">
        <v>3.6</v>
      </c>
      <c r="F5" s="37">
        <v>9</v>
      </c>
      <c r="G5" s="37">
        <v>21.24</v>
      </c>
      <c r="H5" s="38">
        <v>42.48</v>
      </c>
      <c r="I5" s="37"/>
      <c r="J5" s="37"/>
      <c r="L5" s="18"/>
      <c r="M5" s="18"/>
      <c r="N5" s="18"/>
      <c r="O5" s="18"/>
      <c r="P5" s="18"/>
      <c r="Q5" s="18"/>
      <c r="R5" s="18"/>
      <c r="S5" s="18"/>
      <c r="T5" s="18"/>
      <c r="U5" s="18"/>
      <c r="V5" s="13"/>
      <c r="W5" s="13"/>
    </row>
    <row r="6" spans="2:23" x14ac:dyDescent="0.25">
      <c r="D6" s="17"/>
      <c r="E6" s="31"/>
      <c r="F6" s="37"/>
      <c r="G6" s="37"/>
      <c r="I6" s="37"/>
      <c r="J6" s="37"/>
      <c r="L6" s="19"/>
      <c r="M6" s="19"/>
      <c r="N6" s="19"/>
      <c r="O6" s="19"/>
      <c r="P6" s="19"/>
      <c r="Q6" s="19"/>
      <c r="R6" s="19"/>
      <c r="S6" s="19"/>
      <c r="T6" s="19"/>
      <c r="U6" s="19"/>
      <c r="V6" s="13"/>
      <c r="W6" s="13"/>
    </row>
    <row r="7" spans="2:23" x14ac:dyDescent="0.25">
      <c r="D7" s="17"/>
      <c r="E7" s="31"/>
      <c r="F7" s="37"/>
      <c r="G7" s="37"/>
      <c r="I7" s="37"/>
      <c r="J7" s="37"/>
      <c r="L7" s="7"/>
      <c r="M7" s="11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2:23" x14ac:dyDescent="0.25">
      <c r="D8" s="17"/>
      <c r="E8" s="31"/>
      <c r="F8" s="37"/>
      <c r="G8" s="37"/>
      <c r="I8" s="37"/>
      <c r="J8" s="37"/>
      <c r="L8" s="11"/>
      <c r="M8" s="11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2:23" x14ac:dyDescent="0.25">
      <c r="D9" s="17"/>
      <c r="E9" s="31"/>
      <c r="F9" s="37"/>
      <c r="G9" s="37"/>
      <c r="I9" s="37"/>
      <c r="J9" s="37"/>
      <c r="L9" s="11"/>
      <c r="M9" s="11"/>
      <c r="N9" s="11"/>
      <c r="O9" s="11"/>
      <c r="P9" s="8"/>
      <c r="Q9" s="8"/>
      <c r="R9" s="8"/>
      <c r="S9" s="8"/>
      <c r="T9" s="8"/>
    </row>
    <row r="10" spans="2:23" x14ac:dyDescent="0.25">
      <c r="D10" s="17"/>
      <c r="E10" s="31"/>
      <c r="F10" s="37"/>
      <c r="G10" s="37"/>
      <c r="I10" s="37"/>
      <c r="J10" s="37"/>
      <c r="L10" s="11"/>
      <c r="M10" s="11"/>
      <c r="N10" s="11"/>
      <c r="O10" s="11"/>
    </row>
    <row r="11" spans="2:23" x14ac:dyDescent="0.25">
      <c r="D11" s="17"/>
      <c r="E11" s="31"/>
      <c r="F11" s="37"/>
      <c r="G11" s="37"/>
      <c r="I11" s="37"/>
      <c r="J11" s="37"/>
      <c r="L11" s="11"/>
      <c r="M11" s="11"/>
      <c r="N11" s="11"/>
      <c r="O11" s="11"/>
    </row>
    <row r="12" spans="2:23" x14ac:dyDescent="0.25">
      <c r="D12" s="17"/>
      <c r="E12" s="31"/>
      <c r="F12" s="37"/>
      <c r="G12" s="37"/>
      <c r="I12" s="37"/>
      <c r="J12" s="37"/>
      <c r="L12" s="11"/>
      <c r="M12" s="11"/>
      <c r="N12" s="11"/>
      <c r="O12" s="11"/>
    </row>
    <row r="13" spans="2:23" x14ac:dyDescent="0.25">
      <c r="D13" s="17"/>
      <c r="E13" s="31"/>
      <c r="F13" s="37"/>
      <c r="G13" s="37"/>
      <c r="I13" s="37"/>
      <c r="J13" s="37"/>
      <c r="L13" s="11"/>
      <c r="M13" s="11"/>
      <c r="N13" s="11"/>
      <c r="O13" s="11"/>
    </row>
    <row r="14" spans="2:23" x14ac:dyDescent="0.25">
      <c r="D14" s="17"/>
      <c r="E14" s="31"/>
      <c r="F14" s="37"/>
      <c r="G14" s="37"/>
      <c r="I14" s="37"/>
      <c r="J14" s="37"/>
      <c r="L14" s="11"/>
      <c r="M14" s="11"/>
      <c r="N14" s="11"/>
      <c r="O14" s="11"/>
    </row>
    <row r="15" spans="2:23" x14ac:dyDescent="0.25">
      <c r="L15" s="11"/>
      <c r="M15" s="11"/>
      <c r="N15" s="11"/>
      <c r="O15" s="11"/>
    </row>
    <row r="17" spans="1:15" x14ac:dyDescent="0.25">
      <c r="L17" s="11"/>
      <c r="M17" s="11"/>
      <c r="N17" s="11"/>
      <c r="O17" s="11"/>
    </row>
    <row r="18" spans="1:15" x14ac:dyDescent="0.25">
      <c r="L18" s="11"/>
      <c r="M18" s="11"/>
      <c r="N18" s="11"/>
      <c r="O18" s="11"/>
    </row>
    <row r="19" spans="1:15" x14ac:dyDescent="0.25">
      <c r="L19" s="11"/>
      <c r="M19" s="11"/>
      <c r="N19" s="11"/>
      <c r="O19" s="11"/>
    </row>
    <row r="20" spans="1:15" x14ac:dyDescent="0.25">
      <c r="L20" s="11"/>
      <c r="M20" s="11"/>
      <c r="N20" s="11"/>
      <c r="O20" s="11"/>
    </row>
    <row r="21" spans="1:15" x14ac:dyDescent="0.25">
      <c r="A21" t="s">
        <v>26</v>
      </c>
      <c r="L21" s="11"/>
      <c r="M21" s="11"/>
      <c r="N21" s="11"/>
      <c r="O21" s="11"/>
    </row>
    <row r="22" spans="1:15" x14ac:dyDescent="0.25">
      <c r="B22" t="s">
        <v>2</v>
      </c>
      <c r="C22">
        <v>0.38700000000000001</v>
      </c>
      <c r="L22" s="11"/>
      <c r="M22" s="11"/>
      <c r="N22" s="11"/>
      <c r="O22" s="11"/>
    </row>
    <row r="23" spans="1:15" x14ac:dyDescent="0.25">
      <c r="B23" t="s">
        <v>3</v>
      </c>
      <c r="C23">
        <v>0.34699999999999998</v>
      </c>
      <c r="L23" s="11"/>
      <c r="M23" s="11"/>
      <c r="N23" s="11"/>
      <c r="O23" s="11"/>
    </row>
    <row r="24" spans="1:15" x14ac:dyDescent="0.25">
      <c r="B24" t="s">
        <v>4</v>
      </c>
      <c r="C24">
        <v>0.2</v>
      </c>
      <c r="L24" s="11"/>
      <c r="M24" s="11"/>
      <c r="N24" s="11"/>
      <c r="O24" s="11"/>
    </row>
    <row r="25" spans="1:15" x14ac:dyDescent="0.25">
      <c r="B25" t="s">
        <v>27</v>
      </c>
      <c r="C25">
        <v>0.28999999999999998</v>
      </c>
      <c r="L25" s="11"/>
      <c r="M25" s="11"/>
      <c r="N25" s="11"/>
      <c r="O2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AEC9-DD1D-41D4-AC07-D33C8D8DB1ED}">
  <dimension ref="A4:I18"/>
  <sheetViews>
    <sheetView workbookViewId="0">
      <selection activeCell="C18" sqref="C18"/>
    </sheetView>
  </sheetViews>
  <sheetFormatPr baseColWidth="10" defaultColWidth="9.140625" defaultRowHeight="15" x14ac:dyDescent="0.25"/>
  <cols>
    <col min="6" max="6" width="10" bestFit="1" customWidth="1"/>
  </cols>
  <sheetData>
    <row r="4" spans="1:9" x14ac:dyDescent="0.25">
      <c r="A4" t="s">
        <v>0</v>
      </c>
      <c r="C4" t="s">
        <v>5</v>
      </c>
      <c r="D4" t="s">
        <v>6</v>
      </c>
      <c r="E4" t="s">
        <v>7</v>
      </c>
      <c r="F4" t="s">
        <v>94</v>
      </c>
      <c r="G4" t="s">
        <v>9</v>
      </c>
      <c r="H4" t="s">
        <v>16</v>
      </c>
    </row>
    <row r="5" spans="1:9" x14ac:dyDescent="0.25">
      <c r="B5">
        <v>2030</v>
      </c>
      <c r="C5">
        <v>0</v>
      </c>
      <c r="D5">
        <v>0</v>
      </c>
      <c r="E5">
        <v>0</v>
      </c>
      <c r="F5">
        <v>21.6</v>
      </c>
      <c r="G5">
        <v>0.36</v>
      </c>
      <c r="H5">
        <v>0</v>
      </c>
    </row>
    <row r="14" spans="1:9" x14ac:dyDescent="0.25">
      <c r="C14" s="13"/>
      <c r="D14" s="13"/>
      <c r="E14" s="13"/>
      <c r="F14" s="13"/>
      <c r="G14" s="13"/>
      <c r="H14" s="13"/>
      <c r="I14" s="13"/>
    </row>
    <row r="16" spans="1:9" x14ac:dyDescent="0.25">
      <c r="A16" t="s">
        <v>26</v>
      </c>
    </row>
    <row r="17" spans="2:3" x14ac:dyDescent="0.25">
      <c r="B17" t="s">
        <v>94</v>
      </c>
      <c r="C17">
        <v>0</v>
      </c>
    </row>
    <row r="18" spans="2:3" x14ac:dyDescent="0.25">
      <c r="B18" t="s">
        <v>9</v>
      </c>
      <c r="C18">
        <v>0.55400000000000005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A941-8ECB-48AC-B1FE-4E561D25CAD6}">
  <dimension ref="A4:S28"/>
  <sheetViews>
    <sheetView workbookViewId="0">
      <selection activeCell="H16" sqref="H16"/>
    </sheetView>
  </sheetViews>
  <sheetFormatPr baseColWidth="10" defaultColWidth="9.140625" defaultRowHeight="15" x14ac:dyDescent="0.25"/>
  <cols>
    <col min="3" max="3" width="9.7109375" bestFit="1" customWidth="1"/>
    <col min="4" max="4" width="14.28515625" style="59" bestFit="1" customWidth="1"/>
    <col min="6" max="6" width="9.140625" style="59"/>
    <col min="7" max="7" width="12.28515625" bestFit="1" customWidth="1"/>
    <col min="8" max="8" width="14.28515625" bestFit="1" customWidth="1"/>
    <col min="9" max="9" width="10" customWidth="1"/>
    <col min="10" max="10" width="14.28515625" bestFit="1" customWidth="1"/>
    <col min="11" max="11" width="23.85546875" bestFit="1" customWidth="1"/>
    <col min="12" max="12" width="14.28515625" bestFit="1" customWidth="1"/>
  </cols>
  <sheetData>
    <row r="4" spans="1:19" x14ac:dyDescent="0.25">
      <c r="C4" t="s">
        <v>20</v>
      </c>
      <c r="D4" s="59" t="s">
        <v>96</v>
      </c>
      <c r="E4" t="s">
        <v>21</v>
      </c>
      <c r="F4" s="59" t="s">
        <v>22</v>
      </c>
      <c r="G4" t="s">
        <v>23</v>
      </c>
      <c r="H4" t="s">
        <v>24</v>
      </c>
      <c r="I4" t="s">
        <v>25</v>
      </c>
    </row>
    <row r="5" spans="1:19" x14ac:dyDescent="0.25">
      <c r="B5" t="s">
        <v>10</v>
      </c>
      <c r="C5" s="3">
        <v>0.38</v>
      </c>
      <c r="D5" s="3">
        <v>0.33</v>
      </c>
      <c r="E5" s="1">
        <v>0.4</v>
      </c>
      <c r="F5" s="56">
        <v>60</v>
      </c>
      <c r="G5">
        <v>16.7</v>
      </c>
      <c r="H5">
        <v>50</v>
      </c>
      <c r="I5" s="1">
        <v>0.8</v>
      </c>
      <c r="M5" t="s">
        <v>10</v>
      </c>
      <c r="N5" t="s">
        <v>1</v>
      </c>
    </row>
    <row r="6" spans="1:19" x14ac:dyDescent="0.25">
      <c r="B6" t="s">
        <v>2</v>
      </c>
      <c r="C6" s="3">
        <v>0.41</v>
      </c>
      <c r="D6" s="3">
        <v>0.31</v>
      </c>
      <c r="E6" s="1">
        <v>0.5</v>
      </c>
      <c r="F6" s="56">
        <v>40</v>
      </c>
      <c r="G6">
        <v>5.9</v>
      </c>
      <c r="H6">
        <v>49</v>
      </c>
      <c r="I6" s="1">
        <v>0.78</v>
      </c>
      <c r="M6" t="s">
        <v>2</v>
      </c>
      <c r="N6" t="s">
        <v>2</v>
      </c>
    </row>
    <row r="7" spans="1:19" x14ac:dyDescent="0.25">
      <c r="B7" t="s">
        <v>3</v>
      </c>
      <c r="C7" s="3">
        <v>0.36</v>
      </c>
      <c r="D7" s="3">
        <v>0.12</v>
      </c>
      <c r="E7" s="1">
        <v>0.25</v>
      </c>
      <c r="F7" s="56">
        <v>40</v>
      </c>
      <c r="G7">
        <v>5.9</v>
      </c>
      <c r="H7">
        <v>49</v>
      </c>
      <c r="I7" s="1">
        <v>0.78</v>
      </c>
      <c r="M7" t="s">
        <v>3</v>
      </c>
      <c r="N7" t="s">
        <v>3</v>
      </c>
    </row>
    <row r="8" spans="1:19" x14ac:dyDescent="0.25">
      <c r="B8" t="s">
        <v>11</v>
      </c>
      <c r="C8" s="3">
        <v>0.6</v>
      </c>
      <c r="D8" s="3">
        <v>0.56999999999999995</v>
      </c>
      <c r="E8" s="1">
        <v>0.4</v>
      </c>
      <c r="F8" s="56">
        <v>30</v>
      </c>
      <c r="G8">
        <v>2.8</v>
      </c>
      <c r="H8">
        <v>60</v>
      </c>
      <c r="I8" s="1">
        <v>0.8</v>
      </c>
      <c r="M8" t="s">
        <v>11</v>
      </c>
      <c r="N8" t="s">
        <v>4</v>
      </c>
    </row>
    <row r="9" spans="1:19" x14ac:dyDescent="0.25">
      <c r="B9" t="s">
        <v>12</v>
      </c>
      <c r="C9" s="4">
        <v>0.35</v>
      </c>
      <c r="D9" s="4">
        <v>0.34</v>
      </c>
      <c r="E9" s="2">
        <v>0.2</v>
      </c>
      <c r="F9" s="57">
        <v>25</v>
      </c>
      <c r="G9">
        <v>0.1</v>
      </c>
      <c r="H9">
        <v>24</v>
      </c>
      <c r="I9" s="1">
        <v>0.78</v>
      </c>
      <c r="M9" t="s">
        <v>12</v>
      </c>
      <c r="N9" t="s">
        <v>4</v>
      </c>
    </row>
    <row r="10" spans="1:19" x14ac:dyDescent="0.25">
      <c r="B10" t="s">
        <v>27</v>
      </c>
      <c r="C10" s="4">
        <v>0.39</v>
      </c>
      <c r="D10" s="4">
        <v>0.34</v>
      </c>
      <c r="E10" s="2">
        <v>0.5</v>
      </c>
      <c r="F10" s="57">
        <v>25</v>
      </c>
      <c r="G10">
        <v>2.8</v>
      </c>
      <c r="H10">
        <v>57</v>
      </c>
      <c r="I10" s="1">
        <v>0.75</v>
      </c>
      <c r="M10" t="s">
        <v>33</v>
      </c>
      <c r="N10" t="s">
        <v>27</v>
      </c>
    </row>
    <row r="11" spans="1:19" x14ac:dyDescent="0.25">
      <c r="C11" s="4"/>
      <c r="D11" s="4"/>
    </row>
    <row r="13" spans="1:19" x14ac:dyDescent="0.25">
      <c r="A13" s="59" t="s">
        <v>92</v>
      </c>
      <c r="B13" s="59"/>
      <c r="C13" s="59">
        <v>2030</v>
      </c>
      <c r="E13" s="21"/>
      <c r="G13" s="21"/>
      <c r="H13" s="21"/>
      <c r="I13" s="21"/>
      <c r="J13" s="28"/>
      <c r="K13" s="21"/>
      <c r="L13" s="21"/>
      <c r="M13" s="21"/>
      <c r="N13" s="21"/>
      <c r="R13" s="24"/>
      <c r="S13" s="24"/>
    </row>
    <row r="14" spans="1:19" x14ac:dyDescent="0.25">
      <c r="A14" s="59"/>
      <c r="B14" s="59" t="s">
        <v>10</v>
      </c>
      <c r="C14" s="58">
        <v>6000</v>
      </c>
      <c r="D14" s="58"/>
      <c r="E14" s="26"/>
      <c r="G14" s="26"/>
      <c r="H14" s="26"/>
      <c r="I14" s="26"/>
      <c r="J14" s="23"/>
      <c r="K14" s="26"/>
      <c r="L14" s="26"/>
      <c r="M14" s="26"/>
      <c r="N14" s="26"/>
      <c r="R14" s="24"/>
      <c r="S14" s="24"/>
    </row>
    <row r="15" spans="1:19" x14ac:dyDescent="0.25">
      <c r="A15" s="59"/>
      <c r="B15" s="59" t="s">
        <v>2</v>
      </c>
      <c r="C15" s="56">
        <v>1800</v>
      </c>
      <c r="D15" s="56"/>
      <c r="G15" s="28"/>
      <c r="H15" s="28"/>
      <c r="I15" s="28"/>
      <c r="J15" s="28"/>
      <c r="K15" s="28"/>
      <c r="L15" s="28"/>
      <c r="M15" s="28"/>
      <c r="N15" s="28"/>
      <c r="R15" s="24"/>
      <c r="S15" s="24"/>
    </row>
    <row r="16" spans="1:19" x14ac:dyDescent="0.25">
      <c r="A16" s="59"/>
      <c r="B16" s="59" t="s">
        <v>3</v>
      </c>
      <c r="C16" s="56">
        <v>1650</v>
      </c>
      <c r="D16" s="56"/>
      <c r="G16" s="23"/>
      <c r="H16" s="23"/>
      <c r="I16" s="23"/>
      <c r="J16" s="23"/>
      <c r="K16" s="23"/>
      <c r="L16" s="23"/>
      <c r="M16" s="23"/>
      <c r="N16" s="23"/>
      <c r="R16" s="24"/>
      <c r="S16" s="24"/>
    </row>
    <row r="17" spans="1:19" x14ac:dyDescent="0.25">
      <c r="A17" s="59"/>
      <c r="B17" s="59" t="s">
        <v>11</v>
      </c>
      <c r="C17" s="56">
        <v>579</v>
      </c>
      <c r="D17" s="56"/>
      <c r="E17" s="24"/>
      <c r="G17" s="24"/>
      <c r="H17" s="24"/>
      <c r="I17" s="24"/>
      <c r="J17" s="24"/>
      <c r="K17" s="24"/>
      <c r="L17" s="24"/>
      <c r="M17" s="24"/>
      <c r="N17" s="24"/>
      <c r="R17" s="24"/>
      <c r="S17" s="24"/>
    </row>
    <row r="18" spans="1:19" x14ac:dyDescent="0.25">
      <c r="A18" s="59"/>
      <c r="B18" s="59" t="s">
        <v>12</v>
      </c>
      <c r="C18" s="56">
        <v>386</v>
      </c>
      <c r="D18" s="56"/>
      <c r="R18" s="24"/>
      <c r="S18" s="24"/>
    </row>
    <row r="19" spans="1:19" s="59" customFormat="1" x14ac:dyDescent="0.25">
      <c r="B19" s="59" t="s">
        <v>27</v>
      </c>
      <c r="C19" s="56">
        <v>405</v>
      </c>
      <c r="D19" s="56"/>
    </row>
    <row r="20" spans="1:19" x14ac:dyDescent="0.25">
      <c r="A20" s="59"/>
      <c r="B20" s="59"/>
      <c r="C20" s="59"/>
      <c r="R20" s="24"/>
      <c r="S20" s="24"/>
    </row>
    <row r="21" spans="1:19" x14ac:dyDescent="0.25">
      <c r="A21" s="59" t="s">
        <v>95</v>
      </c>
      <c r="B21" s="59"/>
      <c r="C21" s="59">
        <v>2030</v>
      </c>
      <c r="E21" s="22"/>
      <c r="G21" s="22"/>
      <c r="H21" s="22"/>
      <c r="I21" s="22"/>
      <c r="J21" s="22"/>
      <c r="K21" s="22"/>
      <c r="L21" s="22"/>
      <c r="M21" s="22"/>
      <c r="N21" s="22"/>
      <c r="R21" s="24"/>
      <c r="S21" s="24"/>
    </row>
    <row r="22" spans="1:19" x14ac:dyDescent="0.25">
      <c r="A22" s="59"/>
      <c r="B22" s="59" t="s">
        <v>10</v>
      </c>
      <c r="C22" s="59">
        <v>120</v>
      </c>
      <c r="E22" s="27"/>
      <c r="G22" s="27"/>
      <c r="H22" s="27"/>
      <c r="I22" s="27"/>
      <c r="J22" s="27"/>
      <c r="K22" s="27"/>
      <c r="L22" s="27"/>
      <c r="M22" s="27"/>
      <c r="N22" s="27"/>
      <c r="R22" s="24"/>
      <c r="S22" s="24"/>
    </row>
    <row r="23" spans="1:19" x14ac:dyDescent="0.25">
      <c r="A23" s="59"/>
      <c r="B23" s="59" t="s">
        <v>2</v>
      </c>
      <c r="C23" s="59">
        <v>54</v>
      </c>
      <c r="E23" s="29"/>
      <c r="G23" s="29"/>
      <c r="H23" s="29"/>
      <c r="I23" s="29"/>
      <c r="J23" s="29"/>
      <c r="K23" s="29"/>
      <c r="L23" s="29"/>
      <c r="M23" s="29"/>
      <c r="N23" s="29"/>
      <c r="R23" s="24"/>
      <c r="S23" s="24"/>
    </row>
    <row r="24" spans="1:19" x14ac:dyDescent="0.25">
      <c r="A24" s="59"/>
      <c r="B24" s="59" t="s">
        <v>3</v>
      </c>
      <c r="C24" s="59">
        <v>49.5</v>
      </c>
      <c r="E24" s="23"/>
      <c r="G24" s="23"/>
      <c r="H24" s="23"/>
      <c r="I24" s="23"/>
      <c r="J24" s="23"/>
      <c r="K24" s="23"/>
      <c r="L24" s="23"/>
      <c r="M24" s="23"/>
      <c r="N24" s="23"/>
      <c r="R24" s="22"/>
      <c r="S24" s="14"/>
    </row>
    <row r="25" spans="1:19" x14ac:dyDescent="0.25">
      <c r="A25" s="59"/>
      <c r="B25" s="59" t="s">
        <v>11</v>
      </c>
      <c r="C25" s="59">
        <v>23.16</v>
      </c>
      <c r="E25" s="24"/>
      <c r="G25" s="24"/>
      <c r="H25" s="24"/>
      <c r="I25" s="24"/>
      <c r="J25" s="24"/>
      <c r="K25" s="24"/>
      <c r="L25" s="24"/>
      <c r="M25" s="24"/>
      <c r="N25" s="24"/>
      <c r="R25" s="14"/>
      <c r="S25" s="14"/>
    </row>
    <row r="26" spans="1:19" x14ac:dyDescent="0.25">
      <c r="A26" s="59"/>
      <c r="B26" s="59" t="s">
        <v>12</v>
      </c>
      <c r="C26" s="59">
        <v>11.58</v>
      </c>
      <c r="R26" s="14"/>
      <c r="S26" s="14"/>
    </row>
    <row r="27" spans="1:19" x14ac:dyDescent="0.25">
      <c r="B27" t="s">
        <v>27</v>
      </c>
      <c r="C27">
        <v>12.15</v>
      </c>
      <c r="R27" s="14"/>
      <c r="S27" s="14"/>
    </row>
    <row r="28" spans="1:19" x14ac:dyDescent="0.25">
      <c r="R28" s="14"/>
      <c r="S28" s="1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6775-C2C6-4090-A4FF-E8AB4F9F35A2}">
  <dimension ref="A4:X53"/>
  <sheetViews>
    <sheetView workbookViewId="0">
      <selection activeCell="N19" sqref="N19"/>
    </sheetView>
  </sheetViews>
  <sheetFormatPr baseColWidth="10" defaultColWidth="9.140625" defaultRowHeight="15" x14ac:dyDescent="0.25"/>
  <cols>
    <col min="2" max="2" width="13.85546875" bestFit="1" customWidth="1"/>
    <col min="3" max="3" width="11" bestFit="1" customWidth="1"/>
    <col min="5" max="5" width="12.28515625" bestFit="1" customWidth="1"/>
    <col min="6" max="6" width="11.42578125" bestFit="1" customWidth="1"/>
    <col min="7" max="7" width="11.140625" bestFit="1" customWidth="1"/>
    <col min="8" max="8" width="11.42578125" bestFit="1" customWidth="1"/>
    <col min="9" max="9" width="11.140625" bestFit="1" customWidth="1"/>
    <col min="13" max="13" width="13.85546875" bestFit="1" customWidth="1"/>
    <col min="14" max="14" width="11.28515625" bestFit="1" customWidth="1"/>
  </cols>
  <sheetData>
    <row r="4" spans="2:14" x14ac:dyDescent="0.25">
      <c r="C4" t="s">
        <v>20</v>
      </c>
      <c r="D4" t="s">
        <v>25</v>
      </c>
      <c r="E4" t="s">
        <v>22</v>
      </c>
      <c r="F4" t="s">
        <v>28</v>
      </c>
      <c r="G4" t="s">
        <v>83</v>
      </c>
    </row>
    <row r="5" spans="2:14" x14ac:dyDescent="0.25">
      <c r="B5" t="s">
        <v>5</v>
      </c>
      <c r="C5" s="1">
        <v>1</v>
      </c>
      <c r="D5" s="1">
        <v>1</v>
      </c>
      <c r="E5">
        <v>30</v>
      </c>
      <c r="F5">
        <v>0</v>
      </c>
      <c r="G5">
        <v>1</v>
      </c>
      <c r="M5" t="s">
        <v>5</v>
      </c>
      <c r="N5" t="s">
        <v>5</v>
      </c>
    </row>
    <row r="6" spans="2:14" x14ac:dyDescent="0.25">
      <c r="B6" t="s">
        <v>32</v>
      </c>
      <c r="C6" s="1">
        <v>1</v>
      </c>
      <c r="D6" s="1">
        <v>1</v>
      </c>
      <c r="E6" s="30">
        <v>30</v>
      </c>
      <c r="F6">
        <v>0</v>
      </c>
      <c r="G6">
        <v>1</v>
      </c>
      <c r="M6" t="s">
        <v>32</v>
      </c>
      <c r="N6" t="s">
        <v>6</v>
      </c>
    </row>
    <row r="7" spans="2:14" x14ac:dyDescent="0.25">
      <c r="B7" t="s">
        <v>13</v>
      </c>
      <c r="C7" s="1">
        <v>1</v>
      </c>
      <c r="D7" s="1">
        <v>1</v>
      </c>
      <c r="E7">
        <v>30</v>
      </c>
      <c r="F7">
        <v>0</v>
      </c>
      <c r="G7">
        <v>1</v>
      </c>
      <c r="M7" t="s">
        <v>13</v>
      </c>
      <c r="N7" t="s">
        <v>6</v>
      </c>
    </row>
    <row r="8" spans="2:14" x14ac:dyDescent="0.25">
      <c r="B8" t="s">
        <v>14</v>
      </c>
      <c r="C8" s="1">
        <v>1</v>
      </c>
      <c r="D8" s="1">
        <v>1</v>
      </c>
      <c r="E8">
        <v>55</v>
      </c>
      <c r="F8">
        <v>0</v>
      </c>
      <c r="G8">
        <v>1</v>
      </c>
      <c r="I8" s="59"/>
      <c r="M8" t="s">
        <v>14</v>
      </c>
      <c r="N8" t="s">
        <v>7</v>
      </c>
    </row>
    <row r="9" spans="2:14" x14ac:dyDescent="0.25">
      <c r="B9" t="s">
        <v>15</v>
      </c>
      <c r="C9" s="1">
        <v>1</v>
      </c>
      <c r="D9" s="1">
        <v>1</v>
      </c>
      <c r="E9">
        <v>55</v>
      </c>
      <c r="F9">
        <v>1</v>
      </c>
      <c r="G9">
        <v>0</v>
      </c>
      <c r="I9" s="59"/>
      <c r="M9" t="s">
        <v>15</v>
      </c>
      <c r="N9" t="s">
        <v>7</v>
      </c>
    </row>
    <row r="10" spans="2:14" x14ac:dyDescent="0.25">
      <c r="B10" t="s">
        <v>94</v>
      </c>
      <c r="C10" s="1">
        <v>1</v>
      </c>
      <c r="D10" s="1">
        <v>1</v>
      </c>
      <c r="E10">
        <v>40</v>
      </c>
      <c r="F10">
        <v>0</v>
      </c>
      <c r="G10">
        <v>1</v>
      </c>
      <c r="M10" t="s">
        <v>94</v>
      </c>
      <c r="N10" t="s">
        <v>94</v>
      </c>
    </row>
    <row r="11" spans="2:14" x14ac:dyDescent="0.25">
      <c r="B11" t="s">
        <v>9</v>
      </c>
      <c r="C11" s="1">
        <v>0.18</v>
      </c>
      <c r="D11" s="1">
        <v>0.8</v>
      </c>
      <c r="E11">
        <v>40</v>
      </c>
      <c r="F11">
        <v>1</v>
      </c>
      <c r="G11">
        <v>0</v>
      </c>
      <c r="M11" t="s">
        <v>9</v>
      </c>
      <c r="N11" t="s">
        <v>9</v>
      </c>
    </row>
    <row r="12" spans="2:14" x14ac:dyDescent="0.25">
      <c r="B12" t="s">
        <v>16</v>
      </c>
      <c r="C12" s="1">
        <v>0.23899999999999999</v>
      </c>
      <c r="D12" s="1">
        <v>0.9</v>
      </c>
      <c r="E12">
        <v>40</v>
      </c>
      <c r="F12">
        <v>1</v>
      </c>
      <c r="G12">
        <v>0</v>
      </c>
      <c r="M12" t="s">
        <v>16</v>
      </c>
      <c r="N12" t="s">
        <v>16</v>
      </c>
    </row>
    <row r="13" spans="2:14" x14ac:dyDescent="0.25">
      <c r="C13" s="1"/>
      <c r="D13" s="1"/>
    </row>
    <row r="14" spans="2:14" x14ac:dyDescent="0.25">
      <c r="C14" s="1"/>
      <c r="D14" s="1"/>
    </row>
    <row r="23" spans="1:17" x14ac:dyDescent="0.25">
      <c r="A23" t="s">
        <v>34</v>
      </c>
      <c r="C23">
        <v>2030</v>
      </c>
    </row>
    <row r="24" spans="1:17" x14ac:dyDescent="0.25">
      <c r="B24" t="s">
        <v>5</v>
      </c>
      <c r="C24" s="15">
        <v>387</v>
      </c>
      <c r="D24" s="15"/>
      <c r="E24" s="15"/>
      <c r="F24" s="15"/>
      <c r="G24" s="15"/>
      <c r="H24" s="15"/>
      <c r="I24" s="15"/>
      <c r="J24" s="15"/>
      <c r="K24" s="15"/>
      <c r="L24" s="15"/>
    </row>
    <row r="25" spans="1:17" x14ac:dyDescent="0.25">
      <c r="B25" t="s">
        <v>32</v>
      </c>
      <c r="C25" s="30">
        <v>1000</v>
      </c>
      <c r="D25" s="30"/>
      <c r="E25" s="30"/>
      <c r="F25" s="30"/>
      <c r="G25" s="30"/>
      <c r="H25" s="30"/>
      <c r="I25" s="30"/>
      <c r="J25" s="30"/>
      <c r="K25" s="30"/>
      <c r="L25" s="30"/>
    </row>
    <row r="26" spans="1:17" x14ac:dyDescent="0.25">
      <c r="B26" t="s">
        <v>13</v>
      </c>
      <c r="C26" s="36">
        <v>1622</v>
      </c>
      <c r="D26" s="36"/>
      <c r="E26" s="36"/>
      <c r="F26" s="36"/>
      <c r="G26" s="36"/>
      <c r="H26" s="36"/>
      <c r="I26" s="36"/>
      <c r="J26" s="36"/>
      <c r="K26" s="36"/>
      <c r="L26" s="36"/>
    </row>
    <row r="27" spans="1:17" x14ac:dyDescent="0.25">
      <c r="B27" t="s">
        <v>14</v>
      </c>
      <c r="C27" s="32">
        <v>1908</v>
      </c>
      <c r="D27" s="32"/>
      <c r="E27" s="32"/>
      <c r="F27" s="32"/>
      <c r="G27" s="32"/>
      <c r="H27" s="32"/>
      <c r="I27" s="32"/>
      <c r="J27" s="32"/>
      <c r="K27" s="32"/>
      <c r="L27" s="32"/>
    </row>
    <row r="28" spans="1:17" x14ac:dyDescent="0.25">
      <c r="B28" t="s">
        <v>15</v>
      </c>
      <c r="C28" s="34">
        <v>1908</v>
      </c>
      <c r="D28" s="34"/>
      <c r="E28" s="34"/>
      <c r="F28" s="34"/>
      <c r="G28" s="34"/>
      <c r="H28" s="34"/>
      <c r="I28" s="34"/>
      <c r="J28" s="34"/>
      <c r="K28" s="34"/>
      <c r="L28" s="34"/>
      <c r="P28" s="31"/>
      <c r="Q28" s="31"/>
    </row>
    <row r="29" spans="1:17" x14ac:dyDescent="0.25">
      <c r="B29" t="s">
        <v>94</v>
      </c>
      <c r="C29" s="16">
        <v>1800</v>
      </c>
      <c r="D29" s="16"/>
      <c r="E29" s="16"/>
      <c r="F29" s="16"/>
      <c r="G29" s="16"/>
      <c r="H29" s="16"/>
      <c r="I29" s="16"/>
      <c r="J29" s="16"/>
      <c r="K29" s="16"/>
      <c r="L29" s="16"/>
      <c r="P29" s="31"/>
      <c r="Q29" s="31"/>
    </row>
    <row r="30" spans="1:17" x14ac:dyDescent="0.25">
      <c r="B30" t="s">
        <v>9</v>
      </c>
      <c r="C30" s="9">
        <v>2000</v>
      </c>
      <c r="D30" s="9"/>
      <c r="E30" s="9"/>
      <c r="F30" s="9"/>
      <c r="G30" s="9"/>
      <c r="H30" s="9"/>
      <c r="I30" s="9"/>
      <c r="J30" s="9"/>
      <c r="K30" s="9"/>
      <c r="L30" s="37"/>
      <c r="P30" s="31"/>
      <c r="Q30" s="31"/>
    </row>
    <row r="31" spans="1:17" x14ac:dyDescent="0.25">
      <c r="B31" t="s">
        <v>16</v>
      </c>
      <c r="C31" s="17">
        <v>9950</v>
      </c>
      <c r="D31" s="17"/>
      <c r="E31" s="17"/>
      <c r="F31" s="17"/>
      <c r="G31" s="17"/>
      <c r="H31" s="17"/>
      <c r="I31" s="17"/>
      <c r="J31" s="17"/>
      <c r="K31" s="17"/>
      <c r="L31" s="17"/>
      <c r="P31" s="31"/>
      <c r="Q31" s="31"/>
    </row>
    <row r="32" spans="1:17" x14ac:dyDescent="0.25">
      <c r="C32" s="9"/>
      <c r="D32" s="9"/>
      <c r="E32" s="9"/>
      <c r="F32" s="9"/>
      <c r="G32" s="9"/>
      <c r="H32" s="9"/>
      <c r="I32" s="9"/>
      <c r="J32" s="9"/>
      <c r="K32" s="9"/>
      <c r="O32" s="32"/>
      <c r="P32" s="31"/>
      <c r="Q32" s="31"/>
    </row>
    <row r="33" spans="1:24" x14ac:dyDescent="0.25">
      <c r="C33" s="9"/>
      <c r="D33" s="9"/>
      <c r="E33" s="9"/>
      <c r="F33" s="9"/>
      <c r="G33" s="9"/>
      <c r="H33" s="9"/>
      <c r="I33" s="9"/>
      <c r="J33" s="9"/>
      <c r="K33" s="9"/>
      <c r="O33" s="32"/>
      <c r="P33" s="31"/>
      <c r="Q33" s="31"/>
    </row>
    <row r="34" spans="1:24" x14ac:dyDescent="0.25">
      <c r="O34" s="32"/>
      <c r="P34" s="31"/>
      <c r="Q34" s="31"/>
    </row>
    <row r="35" spans="1:24" x14ac:dyDescent="0.25">
      <c r="O35" s="32"/>
      <c r="P35" s="31"/>
      <c r="Q35" s="31"/>
    </row>
    <row r="36" spans="1:24" x14ac:dyDescent="0.25">
      <c r="O36" s="32"/>
      <c r="P36" s="34"/>
      <c r="Q36" s="31"/>
    </row>
    <row r="37" spans="1:24" x14ac:dyDescent="0.25">
      <c r="O37" s="32"/>
      <c r="P37" s="34"/>
      <c r="Q37" s="31"/>
    </row>
    <row r="38" spans="1:24" x14ac:dyDescent="0.25">
      <c r="O38" s="32"/>
      <c r="P38" s="34"/>
      <c r="Q38" s="16"/>
    </row>
    <row r="39" spans="1:24" x14ac:dyDescent="0.25">
      <c r="O39" s="32"/>
      <c r="P39" s="34"/>
      <c r="Q39" s="16"/>
    </row>
    <row r="40" spans="1:24" x14ac:dyDescent="0.25">
      <c r="K40" s="6"/>
      <c r="O40" s="32"/>
      <c r="P40" s="34"/>
      <c r="Q40" s="17"/>
    </row>
    <row r="41" spans="1:24" x14ac:dyDescent="0.25">
      <c r="A41" t="s">
        <v>95</v>
      </c>
      <c r="C41">
        <v>2030</v>
      </c>
      <c r="K41" s="6"/>
      <c r="O41" s="32"/>
      <c r="P41" s="34"/>
      <c r="Q41" s="17"/>
    </row>
    <row r="42" spans="1:24" x14ac:dyDescent="0.25">
      <c r="B42" t="s">
        <v>5</v>
      </c>
      <c r="C42" s="15">
        <v>11.61</v>
      </c>
      <c r="D42" s="15"/>
      <c r="E42" s="15"/>
      <c r="F42" s="15"/>
      <c r="G42" s="15"/>
      <c r="H42" s="15"/>
      <c r="I42" s="15"/>
      <c r="J42" s="15"/>
      <c r="K42" s="15"/>
      <c r="L42" s="15"/>
      <c r="P42" s="34"/>
      <c r="Q42" s="17"/>
    </row>
    <row r="43" spans="1:24" x14ac:dyDescent="0.25">
      <c r="B43" t="s">
        <v>32</v>
      </c>
      <c r="C43" s="30">
        <v>20</v>
      </c>
      <c r="D43" s="30"/>
      <c r="E43" s="30"/>
      <c r="F43" s="30"/>
      <c r="G43" s="30"/>
      <c r="H43" s="30"/>
      <c r="I43" s="30"/>
      <c r="J43" s="30"/>
      <c r="K43" s="30"/>
      <c r="L43" s="30"/>
      <c r="O43" s="33"/>
      <c r="P43" s="34"/>
      <c r="Q43" s="17"/>
    </row>
    <row r="44" spans="1:24" x14ac:dyDescent="0.25">
      <c r="B44" t="s">
        <v>13</v>
      </c>
      <c r="C44" s="37">
        <v>32.44</v>
      </c>
      <c r="D44" s="37"/>
      <c r="E44" s="37"/>
      <c r="F44" s="37"/>
      <c r="G44" s="37"/>
      <c r="H44" s="37"/>
      <c r="I44" s="37"/>
      <c r="J44" s="37"/>
      <c r="K44" s="37"/>
      <c r="L44" s="37"/>
      <c r="O44" s="35"/>
      <c r="P44" s="34"/>
      <c r="Q44" s="17"/>
    </row>
    <row r="45" spans="1:24" x14ac:dyDescent="0.25">
      <c r="B45" t="s">
        <v>14</v>
      </c>
      <c r="C45" s="33">
        <v>38.159999999999997</v>
      </c>
      <c r="D45" s="33"/>
      <c r="E45" s="33"/>
      <c r="F45" s="33"/>
      <c r="G45" s="33"/>
      <c r="H45" s="33"/>
      <c r="I45" s="33"/>
      <c r="J45" s="33"/>
      <c r="K45" s="33"/>
      <c r="L45" s="33"/>
      <c r="O45" s="35"/>
      <c r="P45" s="34"/>
      <c r="Q45" s="17"/>
    </row>
    <row r="46" spans="1:24" x14ac:dyDescent="0.25">
      <c r="B46" t="s">
        <v>15</v>
      </c>
      <c r="C46" s="59">
        <v>38.159999999999997</v>
      </c>
      <c r="D46" s="35"/>
      <c r="E46" s="35"/>
      <c r="F46" s="35"/>
      <c r="G46" s="35"/>
      <c r="H46" s="35"/>
      <c r="I46" s="35"/>
      <c r="J46" s="35"/>
      <c r="K46" s="35"/>
      <c r="L46" s="35"/>
      <c r="O46" s="35"/>
      <c r="P46" s="17"/>
      <c r="Q46" s="17"/>
    </row>
    <row r="47" spans="1:24" x14ac:dyDescent="0.25">
      <c r="B47" t="s">
        <v>94</v>
      </c>
      <c r="C47" s="16">
        <v>36</v>
      </c>
      <c r="D47" s="16"/>
      <c r="E47" s="16"/>
      <c r="F47" s="16"/>
      <c r="G47" s="16"/>
      <c r="H47" s="16"/>
      <c r="I47" s="16"/>
      <c r="J47" s="16"/>
      <c r="K47" s="16"/>
      <c r="L47" s="16"/>
      <c r="O47" s="35"/>
      <c r="P47" s="17"/>
      <c r="Q47" s="17"/>
    </row>
    <row r="48" spans="1:24" x14ac:dyDescent="0.25">
      <c r="B48" t="s">
        <v>9</v>
      </c>
      <c r="C48" s="12">
        <v>80</v>
      </c>
      <c r="D48" s="12"/>
      <c r="E48" s="12"/>
      <c r="F48" s="12"/>
      <c r="G48" s="12"/>
      <c r="H48" s="12"/>
      <c r="I48" s="12"/>
      <c r="J48" s="12"/>
      <c r="K48" s="12"/>
      <c r="L48" s="37"/>
      <c r="O48" s="35"/>
      <c r="P48" s="19"/>
      <c r="Q48" s="19"/>
      <c r="R48" s="19"/>
      <c r="S48" s="19"/>
      <c r="T48" s="19"/>
      <c r="U48" s="19"/>
      <c r="V48" s="19"/>
      <c r="W48" s="19"/>
      <c r="X48" s="19"/>
    </row>
    <row r="49" spans="2:24" x14ac:dyDescent="0.25">
      <c r="B49" t="s">
        <v>16</v>
      </c>
      <c r="C49" s="17">
        <v>120</v>
      </c>
      <c r="D49" s="17"/>
      <c r="E49" s="17"/>
      <c r="F49" s="17"/>
      <c r="G49" s="17"/>
      <c r="H49" s="17"/>
      <c r="I49" s="17"/>
      <c r="J49" s="17"/>
      <c r="K49" s="17"/>
      <c r="L49" s="17"/>
      <c r="O49" s="35"/>
      <c r="P49" s="20"/>
      <c r="Q49" s="20"/>
      <c r="R49" s="20"/>
      <c r="S49" s="20"/>
      <c r="T49" s="20"/>
      <c r="U49" s="20"/>
      <c r="V49" s="20"/>
      <c r="W49" s="20"/>
      <c r="X49" s="20"/>
    </row>
    <row r="50" spans="2:24" x14ac:dyDescent="0.25">
      <c r="C50" s="10"/>
      <c r="D50" s="10"/>
      <c r="E50" s="10"/>
      <c r="F50" s="10"/>
      <c r="G50" s="10"/>
      <c r="H50" s="10"/>
      <c r="I50" s="10"/>
      <c r="J50" s="10"/>
      <c r="K50" s="10"/>
      <c r="L50" s="37"/>
      <c r="O50" s="35"/>
      <c r="P50" s="20"/>
      <c r="Q50" s="20"/>
      <c r="R50" s="20"/>
      <c r="S50" s="20"/>
      <c r="T50" s="20"/>
      <c r="U50" s="20"/>
      <c r="V50" s="20"/>
      <c r="W50" s="20"/>
      <c r="X50" s="20"/>
    </row>
    <row r="51" spans="2:24" x14ac:dyDescent="0.25">
      <c r="C51" s="10"/>
      <c r="D51" s="10"/>
      <c r="E51" s="10"/>
      <c r="F51" s="10"/>
      <c r="G51" s="10"/>
      <c r="H51" s="10"/>
      <c r="I51" s="10"/>
      <c r="J51" s="10"/>
      <c r="K51" s="10"/>
      <c r="L51" s="37"/>
      <c r="O51" s="35"/>
    </row>
    <row r="52" spans="2:24" x14ac:dyDescent="0.25">
      <c r="O52" s="35"/>
    </row>
    <row r="53" spans="2:24" x14ac:dyDescent="0.25">
      <c r="O53" s="35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466-D62E-442E-9342-2BE61F4CCBEF}">
  <dimension ref="A4:X26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24.7109375" bestFit="1" customWidth="1"/>
    <col min="2" max="2" width="12.7109375" bestFit="1" customWidth="1"/>
    <col min="3" max="3" width="9.7109375" bestFit="1" customWidth="1"/>
    <col min="5" max="5" width="12.28515625" bestFit="1" customWidth="1"/>
  </cols>
  <sheetData>
    <row r="4" spans="1:24" x14ac:dyDescent="0.25">
      <c r="C4" t="s">
        <v>20</v>
      </c>
      <c r="D4" t="s">
        <v>25</v>
      </c>
      <c r="E4" t="s">
        <v>22</v>
      </c>
    </row>
    <row r="5" spans="1:24" x14ac:dyDescent="0.25">
      <c r="B5" t="s">
        <v>17</v>
      </c>
      <c r="C5" s="2">
        <v>0.8</v>
      </c>
      <c r="D5" s="1">
        <v>0.97</v>
      </c>
      <c r="E5" s="5">
        <v>80</v>
      </c>
      <c r="F5" s="5"/>
    </row>
    <row r="6" spans="1:24" x14ac:dyDescent="0.25">
      <c r="B6" t="s">
        <v>18</v>
      </c>
      <c r="C6" s="2">
        <v>0.8</v>
      </c>
      <c r="D6" s="1">
        <v>0.99</v>
      </c>
      <c r="E6" s="5">
        <v>20</v>
      </c>
      <c r="F6" s="5"/>
    </row>
    <row r="9" spans="1:24" x14ac:dyDescent="0.25">
      <c r="A9" t="s">
        <v>29</v>
      </c>
      <c r="C9">
        <v>2030</v>
      </c>
    </row>
    <row r="10" spans="1:24" x14ac:dyDescent="0.25">
      <c r="B10" t="s">
        <v>17</v>
      </c>
      <c r="C10" s="25">
        <v>1129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24" x14ac:dyDescent="0.25">
      <c r="B11" t="s">
        <v>18</v>
      </c>
      <c r="C11" s="25">
        <v>156</v>
      </c>
      <c r="D11" s="25"/>
      <c r="E11" s="25"/>
      <c r="F11" s="25"/>
      <c r="G11" s="25"/>
      <c r="H11" s="25"/>
      <c r="I11" s="25"/>
      <c r="J11" s="25"/>
      <c r="K11" s="25"/>
      <c r="L11" s="25"/>
      <c r="P11" s="25"/>
      <c r="Q11" s="25"/>
    </row>
    <row r="12" spans="1:24" x14ac:dyDescent="0.25">
      <c r="P12" s="25"/>
      <c r="Q12" s="25"/>
    </row>
    <row r="13" spans="1:24" x14ac:dyDescent="0.25">
      <c r="P13" s="25"/>
      <c r="Q13" s="25"/>
    </row>
    <row r="14" spans="1:24" x14ac:dyDescent="0.25">
      <c r="A14" t="s">
        <v>93</v>
      </c>
      <c r="C14">
        <v>2030</v>
      </c>
      <c r="P14" s="25"/>
      <c r="Q14" s="25"/>
    </row>
    <row r="15" spans="1:24" x14ac:dyDescent="0.25">
      <c r="B15" t="s">
        <v>17</v>
      </c>
      <c r="C15" s="25">
        <v>0.08</v>
      </c>
      <c r="D15" s="25"/>
      <c r="E15" s="25"/>
      <c r="F15" s="25"/>
      <c r="G15" s="25"/>
      <c r="H15" s="25"/>
      <c r="I15" s="25"/>
      <c r="J15" s="25"/>
      <c r="K15" s="25"/>
      <c r="L15" s="25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x14ac:dyDescent="0.25">
      <c r="B16" t="s">
        <v>18</v>
      </c>
      <c r="C16" s="25">
        <v>0.184</v>
      </c>
      <c r="D16" s="25"/>
      <c r="E16" s="25"/>
      <c r="F16" s="25"/>
      <c r="G16" s="25"/>
      <c r="H16" s="25"/>
      <c r="I16" s="25"/>
      <c r="J16" s="25"/>
      <c r="K16" s="25"/>
      <c r="L16" s="25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x14ac:dyDescent="0.25">
      <c r="P17" s="25"/>
      <c r="Q17" s="25"/>
    </row>
    <row r="18" spans="1:24" x14ac:dyDescent="0.25">
      <c r="P18" s="37"/>
      <c r="Q18" s="37"/>
      <c r="R18" s="37"/>
      <c r="S18" s="37"/>
      <c r="T18" s="37"/>
      <c r="U18" s="37"/>
      <c r="V18" s="37"/>
      <c r="W18" s="37"/>
      <c r="X18" s="37"/>
    </row>
    <row r="19" spans="1:24" x14ac:dyDescent="0.25">
      <c r="A19" t="s">
        <v>30</v>
      </c>
      <c r="C19">
        <v>2030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x14ac:dyDescent="0.25">
      <c r="B20" t="s">
        <v>17</v>
      </c>
      <c r="C20">
        <v>5.7</v>
      </c>
      <c r="D20" s="13"/>
      <c r="E20" s="13"/>
      <c r="F20" s="13"/>
      <c r="G20" s="13"/>
      <c r="H20" s="13"/>
      <c r="I20" s="13"/>
      <c r="J20" s="13"/>
      <c r="K20" s="13"/>
      <c r="L20" s="13"/>
      <c r="P20" s="25"/>
      <c r="Q20" s="25"/>
    </row>
    <row r="21" spans="1:24" x14ac:dyDescent="0.25">
      <c r="B21" t="s">
        <v>18</v>
      </c>
      <c r="C21">
        <v>2</v>
      </c>
      <c r="D21" s="13"/>
      <c r="E21" s="13"/>
      <c r="F21" s="13"/>
      <c r="G21" s="13"/>
      <c r="H21" s="13"/>
      <c r="I21" s="13"/>
      <c r="J21" s="13"/>
      <c r="K21" s="13"/>
      <c r="L21" s="13"/>
    </row>
    <row r="24" spans="1:24" x14ac:dyDescent="0.25">
      <c r="A24" t="s">
        <v>31</v>
      </c>
      <c r="C24">
        <v>2030</v>
      </c>
    </row>
    <row r="25" spans="1:24" x14ac:dyDescent="0.25">
      <c r="B25" t="s">
        <v>17</v>
      </c>
      <c r="C25">
        <v>0.94</v>
      </c>
      <c r="D25" s="13"/>
      <c r="E25" s="13"/>
      <c r="F25" s="13"/>
      <c r="G25" s="13"/>
      <c r="H25" s="13"/>
      <c r="I25" s="13"/>
      <c r="J25" s="13"/>
      <c r="K25" s="13"/>
      <c r="L25" s="13"/>
    </row>
    <row r="26" spans="1:24" x14ac:dyDescent="0.25">
      <c r="B26" t="s">
        <v>18</v>
      </c>
      <c r="C26">
        <v>1</v>
      </c>
      <c r="D26" s="13"/>
      <c r="E26" s="13"/>
      <c r="F26" s="13"/>
      <c r="G26" s="13"/>
      <c r="H26" s="13"/>
      <c r="I26" s="13"/>
      <c r="J26" s="13"/>
      <c r="K26" s="13"/>
      <c r="L2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0AB-8EA7-401B-9C9C-5085E44C8BC7}">
  <dimension ref="C3:F15"/>
  <sheetViews>
    <sheetView workbookViewId="0">
      <selection activeCell="D7" sqref="D7"/>
    </sheetView>
  </sheetViews>
  <sheetFormatPr baseColWidth="10" defaultColWidth="9.140625" defaultRowHeight="15" x14ac:dyDescent="0.25"/>
  <sheetData>
    <row r="3" spans="3:6" x14ac:dyDescent="0.25">
      <c r="C3" t="s">
        <v>19</v>
      </c>
    </row>
    <row r="6" spans="3:6" x14ac:dyDescent="0.25">
      <c r="C6">
        <v>2030</v>
      </c>
      <c r="D6" s="37">
        <v>175</v>
      </c>
      <c r="F6" s="37">
        <v>100</v>
      </c>
    </row>
    <row r="7" spans="3:6" x14ac:dyDescent="0.25">
      <c r="D7" s="37"/>
      <c r="F7" s="37">
        <v>150</v>
      </c>
    </row>
    <row r="8" spans="3:6" x14ac:dyDescent="0.25">
      <c r="D8" s="37"/>
      <c r="F8" s="37"/>
    </row>
    <row r="9" spans="3:6" x14ac:dyDescent="0.25">
      <c r="D9" s="37"/>
      <c r="F9" s="37"/>
    </row>
    <row r="10" spans="3:6" x14ac:dyDescent="0.25">
      <c r="D10" s="37"/>
      <c r="F10" s="37"/>
    </row>
    <row r="11" spans="3:6" x14ac:dyDescent="0.25">
      <c r="D11" s="37"/>
      <c r="F11" s="37"/>
    </row>
    <row r="12" spans="3:6" x14ac:dyDescent="0.25">
      <c r="D12" s="37"/>
      <c r="F12" s="37"/>
    </row>
    <row r="13" spans="3:6" x14ac:dyDescent="0.25">
      <c r="D13" s="37"/>
      <c r="F13" s="37"/>
    </row>
    <row r="14" spans="3:6" x14ac:dyDescent="0.25">
      <c r="D14" s="37"/>
      <c r="F14" s="37"/>
    </row>
    <row r="15" spans="3:6" x14ac:dyDescent="0.25">
      <c r="D15" s="37"/>
      <c r="F15" s="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7CCC-4928-4CDA-BFE6-AB066246D72D}">
  <dimension ref="B2:AW4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9" sqref="B49"/>
    </sheetView>
  </sheetViews>
  <sheetFormatPr baseColWidth="10" defaultColWidth="9.140625" defaultRowHeight="15" x14ac:dyDescent="0.25"/>
  <sheetData>
    <row r="2" spans="2:49" x14ac:dyDescent="0.25"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72</v>
      </c>
      <c r="AN2" t="s">
        <v>73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79</v>
      </c>
      <c r="AU2" t="s">
        <v>80</v>
      </c>
      <c r="AV2" t="s">
        <v>81</v>
      </c>
      <c r="AW2" t="s">
        <v>82</v>
      </c>
    </row>
    <row r="3" spans="2:49" x14ac:dyDescent="0.25">
      <c r="B3" t="s">
        <v>35</v>
      </c>
      <c r="C3">
        <v>0</v>
      </c>
      <c r="P3">
        <v>200</v>
      </c>
      <c r="Z3">
        <v>200</v>
      </c>
      <c r="AC3">
        <v>200</v>
      </c>
      <c r="AN3">
        <v>210</v>
      </c>
    </row>
    <row r="4" spans="2:49" x14ac:dyDescent="0.25">
      <c r="B4" t="s">
        <v>36</v>
      </c>
      <c r="D4">
        <v>0</v>
      </c>
      <c r="I4">
        <v>1200</v>
      </c>
      <c r="O4">
        <v>4420</v>
      </c>
      <c r="Q4">
        <v>800</v>
      </c>
      <c r="V4">
        <v>220</v>
      </c>
      <c r="AP4">
        <v>900</v>
      </c>
      <c r="AV4">
        <v>470</v>
      </c>
    </row>
    <row r="5" spans="2:49" x14ac:dyDescent="0.25">
      <c r="B5" t="s">
        <v>37</v>
      </c>
      <c r="E5">
        <v>0</v>
      </c>
      <c r="N5">
        <v>650</v>
      </c>
      <c r="O5">
        <v>400</v>
      </c>
      <c r="AD5">
        <v>1400</v>
      </c>
      <c r="AW5">
        <v>750</v>
      </c>
    </row>
    <row r="6" spans="2:49" x14ac:dyDescent="0.25">
      <c r="B6" t="s">
        <v>38</v>
      </c>
      <c r="F6">
        <v>0</v>
      </c>
      <c r="H6">
        <v>400</v>
      </c>
      <c r="AC6">
        <v>200</v>
      </c>
      <c r="AN6">
        <v>150</v>
      </c>
    </row>
    <row r="7" spans="2:49" x14ac:dyDescent="0.25">
      <c r="B7" t="s">
        <v>39</v>
      </c>
      <c r="G7">
        <v>0</v>
      </c>
      <c r="P7">
        <v>300</v>
      </c>
      <c r="AE7">
        <v>400</v>
      </c>
      <c r="AM7">
        <v>500</v>
      </c>
      <c r="AN7">
        <v>150</v>
      </c>
    </row>
    <row r="8" spans="2:49" x14ac:dyDescent="0.25">
      <c r="B8" t="s">
        <v>40</v>
      </c>
      <c r="F8">
        <v>400</v>
      </c>
      <c r="H8">
        <v>0</v>
      </c>
      <c r="Q8">
        <v>400</v>
      </c>
      <c r="AN8">
        <v>150</v>
      </c>
      <c r="AP8">
        <v>500</v>
      </c>
    </row>
    <row r="9" spans="2:49" x14ac:dyDescent="0.25">
      <c r="B9" t="s">
        <v>41</v>
      </c>
      <c r="D9">
        <v>2200</v>
      </c>
      <c r="I9">
        <v>0</v>
      </c>
      <c r="O9">
        <v>1600</v>
      </c>
      <c r="AK9">
        <v>800</v>
      </c>
      <c r="AO9">
        <v>650</v>
      </c>
    </row>
    <row r="10" spans="2:49" x14ac:dyDescent="0.25">
      <c r="B10" t="s">
        <v>42</v>
      </c>
      <c r="J10">
        <v>0</v>
      </c>
      <c r="K10">
        <v>590</v>
      </c>
      <c r="O10">
        <v>500</v>
      </c>
      <c r="AD10">
        <v>490</v>
      </c>
      <c r="AG10">
        <v>1680</v>
      </c>
      <c r="AT10">
        <v>715</v>
      </c>
      <c r="AW10">
        <v>1456</v>
      </c>
    </row>
    <row r="11" spans="2:49" x14ac:dyDescent="0.25">
      <c r="B11" t="s">
        <v>43</v>
      </c>
      <c r="J11">
        <v>600</v>
      </c>
      <c r="K11">
        <v>0</v>
      </c>
      <c r="O11">
        <v>624</v>
      </c>
      <c r="AU11">
        <v>1700</v>
      </c>
    </row>
    <row r="12" spans="2:49" x14ac:dyDescent="0.25">
      <c r="B12" t="s">
        <v>44</v>
      </c>
      <c r="L12">
        <v>0</v>
      </c>
      <c r="M12">
        <v>1016</v>
      </c>
      <c r="AA12">
        <v>1060</v>
      </c>
    </row>
    <row r="13" spans="2:49" x14ac:dyDescent="0.25">
      <c r="B13" t="s">
        <v>45</v>
      </c>
      <c r="L13">
        <v>1016</v>
      </c>
      <c r="M13">
        <v>0</v>
      </c>
      <c r="AI13">
        <v>120</v>
      </c>
      <c r="AR13">
        <v>1100</v>
      </c>
      <c r="AT13">
        <v>1200</v>
      </c>
    </row>
    <row r="14" spans="2:49" x14ac:dyDescent="0.25">
      <c r="B14" t="s">
        <v>46</v>
      </c>
      <c r="E14">
        <v>2000</v>
      </c>
      <c r="N14">
        <v>0</v>
      </c>
      <c r="O14">
        <v>1300</v>
      </c>
      <c r="V14">
        <v>2862</v>
      </c>
      <c r="AQ14">
        <v>2600</v>
      </c>
      <c r="AV14">
        <v>3200</v>
      </c>
      <c r="AW14">
        <v>4028</v>
      </c>
    </row>
    <row r="15" spans="2:49" x14ac:dyDescent="0.25">
      <c r="B15" t="s">
        <v>48</v>
      </c>
      <c r="D15">
        <v>4820</v>
      </c>
      <c r="E15">
        <v>400</v>
      </c>
      <c r="I15">
        <v>1350</v>
      </c>
      <c r="J15">
        <v>850</v>
      </c>
      <c r="K15">
        <v>975</v>
      </c>
      <c r="N15">
        <v>1200</v>
      </c>
      <c r="O15">
        <v>0</v>
      </c>
      <c r="AD15">
        <v>1367</v>
      </c>
      <c r="AG15">
        <v>1444</v>
      </c>
      <c r="AK15">
        <v>1200</v>
      </c>
      <c r="AU15">
        <v>600</v>
      </c>
      <c r="AV15">
        <v>400</v>
      </c>
    </row>
    <row r="16" spans="2:49" x14ac:dyDescent="0.25">
      <c r="B16" t="s">
        <v>49</v>
      </c>
      <c r="C16">
        <v>200</v>
      </c>
      <c r="G16">
        <v>300</v>
      </c>
      <c r="P16">
        <v>0</v>
      </c>
      <c r="Y16">
        <v>50</v>
      </c>
      <c r="AE16">
        <v>150</v>
      </c>
    </row>
    <row r="17" spans="2:49" x14ac:dyDescent="0.25">
      <c r="B17" t="s">
        <v>50</v>
      </c>
      <c r="D17">
        <v>800</v>
      </c>
      <c r="H17">
        <v>500</v>
      </c>
      <c r="Q17">
        <v>0</v>
      </c>
      <c r="AM17">
        <v>350</v>
      </c>
      <c r="AN17">
        <v>200</v>
      </c>
      <c r="AO17">
        <v>800</v>
      </c>
      <c r="AP17">
        <v>150</v>
      </c>
    </row>
    <row r="18" spans="2:49" x14ac:dyDescent="0.25">
      <c r="B18" t="s">
        <v>51</v>
      </c>
      <c r="R18">
        <v>0</v>
      </c>
      <c r="AW18">
        <v>80</v>
      </c>
    </row>
    <row r="19" spans="2:49" x14ac:dyDescent="0.25">
      <c r="B19" t="s">
        <v>52</v>
      </c>
      <c r="S19">
        <v>0</v>
      </c>
      <c r="X19">
        <v>1500</v>
      </c>
      <c r="Y19">
        <v>2350</v>
      </c>
    </row>
    <row r="20" spans="2:49" x14ac:dyDescent="0.25">
      <c r="B20" t="s">
        <v>53</v>
      </c>
      <c r="T20">
        <v>0</v>
      </c>
      <c r="U20">
        <v>1800</v>
      </c>
      <c r="V20">
        <v>1900</v>
      </c>
    </row>
    <row r="21" spans="2:49" x14ac:dyDescent="0.25">
      <c r="B21" t="s">
        <v>54</v>
      </c>
      <c r="T21">
        <v>2800</v>
      </c>
      <c r="U21">
        <v>0</v>
      </c>
      <c r="W21">
        <v>720</v>
      </c>
      <c r="Y21">
        <v>2400</v>
      </c>
      <c r="AC21">
        <v>600</v>
      </c>
    </row>
    <row r="22" spans="2:49" x14ac:dyDescent="0.25">
      <c r="B22" t="s">
        <v>55</v>
      </c>
      <c r="D22">
        <v>285</v>
      </c>
      <c r="N22">
        <v>1995</v>
      </c>
      <c r="T22">
        <v>3400</v>
      </c>
      <c r="V22">
        <v>0</v>
      </c>
      <c r="AP22">
        <v>660</v>
      </c>
      <c r="AV22">
        <v>1810</v>
      </c>
    </row>
    <row r="23" spans="2:49" x14ac:dyDescent="0.25">
      <c r="B23" t="s">
        <v>56</v>
      </c>
      <c r="U23">
        <v>870</v>
      </c>
      <c r="W23">
        <v>0</v>
      </c>
    </row>
    <row r="24" spans="2:49" x14ac:dyDescent="0.25">
      <c r="B24" t="s">
        <v>57</v>
      </c>
      <c r="S24">
        <v>1300</v>
      </c>
      <c r="X24">
        <v>0</v>
      </c>
    </row>
    <row r="25" spans="2:49" x14ac:dyDescent="0.25">
      <c r="B25" t="s">
        <v>58</v>
      </c>
      <c r="P25">
        <v>50</v>
      </c>
      <c r="S25">
        <v>1100</v>
      </c>
      <c r="U25">
        <v>5100</v>
      </c>
      <c r="Y25">
        <v>0</v>
      </c>
    </row>
    <row r="26" spans="2:49" x14ac:dyDescent="0.25">
      <c r="B26" t="s">
        <v>59</v>
      </c>
      <c r="C26">
        <v>200</v>
      </c>
      <c r="Z26">
        <v>0</v>
      </c>
      <c r="AC26">
        <v>100</v>
      </c>
      <c r="AE26">
        <v>100</v>
      </c>
      <c r="AN26">
        <v>600</v>
      </c>
    </row>
    <row r="27" spans="2:49" x14ac:dyDescent="0.25">
      <c r="B27" t="s">
        <v>60</v>
      </c>
      <c r="L27">
        <v>960</v>
      </c>
      <c r="AA27">
        <v>0</v>
      </c>
      <c r="AB27">
        <v>945</v>
      </c>
    </row>
    <row r="28" spans="2:49" x14ac:dyDescent="0.25">
      <c r="B28" t="s">
        <v>61</v>
      </c>
      <c r="AA28">
        <v>1054</v>
      </c>
      <c r="AB28">
        <v>0</v>
      </c>
      <c r="AK28">
        <v>350</v>
      </c>
      <c r="AU28">
        <v>700</v>
      </c>
    </row>
    <row r="29" spans="2:49" x14ac:dyDescent="0.25">
      <c r="B29" t="s">
        <v>62</v>
      </c>
      <c r="C29">
        <v>200</v>
      </c>
      <c r="F29">
        <v>200</v>
      </c>
      <c r="U29">
        <v>600</v>
      </c>
      <c r="Z29">
        <v>100</v>
      </c>
      <c r="AC29">
        <v>0</v>
      </c>
      <c r="AN29">
        <v>150</v>
      </c>
    </row>
    <row r="30" spans="2:49" x14ac:dyDescent="0.25">
      <c r="B30" t="s">
        <v>63</v>
      </c>
      <c r="E30">
        <v>950</v>
      </c>
      <c r="J30">
        <v>700</v>
      </c>
      <c r="O30">
        <v>1367</v>
      </c>
      <c r="AD30">
        <v>0</v>
      </c>
      <c r="AG30">
        <v>620</v>
      </c>
      <c r="AW30">
        <v>1016</v>
      </c>
    </row>
    <row r="31" spans="2:49" x14ac:dyDescent="0.25">
      <c r="B31" t="s">
        <v>64</v>
      </c>
      <c r="G31">
        <v>200</v>
      </c>
      <c r="P31">
        <v>150</v>
      </c>
      <c r="Z31">
        <v>100</v>
      </c>
      <c r="AE31">
        <v>0</v>
      </c>
      <c r="AN31">
        <v>150</v>
      </c>
    </row>
    <row r="32" spans="2:49" x14ac:dyDescent="0.25">
      <c r="B32" t="s">
        <v>65</v>
      </c>
      <c r="AF32">
        <v>0</v>
      </c>
      <c r="AG32">
        <v>2200</v>
      </c>
      <c r="AH32">
        <v>500</v>
      </c>
      <c r="AJ32">
        <v>600</v>
      </c>
      <c r="AT32">
        <v>2145</v>
      </c>
    </row>
    <row r="33" spans="2:49" x14ac:dyDescent="0.25">
      <c r="B33" t="s">
        <v>66</v>
      </c>
      <c r="J33">
        <v>1680</v>
      </c>
      <c r="O33">
        <v>1444</v>
      </c>
      <c r="AD33">
        <v>620</v>
      </c>
      <c r="AF33">
        <v>3500</v>
      </c>
      <c r="AG33">
        <v>0</v>
      </c>
      <c r="AJ33">
        <v>500</v>
      </c>
      <c r="AW33">
        <v>1400</v>
      </c>
    </row>
    <row r="34" spans="2:49" x14ac:dyDescent="0.25">
      <c r="B34" t="s">
        <v>67</v>
      </c>
      <c r="AF34">
        <v>500</v>
      </c>
      <c r="AH34">
        <v>0</v>
      </c>
      <c r="AI34">
        <v>400</v>
      </c>
      <c r="AJ34">
        <v>800</v>
      </c>
      <c r="AS34">
        <v>600</v>
      </c>
    </row>
    <row r="35" spans="2:49" x14ac:dyDescent="0.25">
      <c r="B35" t="s">
        <v>68</v>
      </c>
      <c r="M35">
        <v>144</v>
      </c>
      <c r="AH35">
        <v>1200</v>
      </c>
      <c r="AI35">
        <v>0</v>
      </c>
      <c r="AR35">
        <v>700</v>
      </c>
      <c r="AS35">
        <v>250</v>
      </c>
    </row>
    <row r="36" spans="2:49" x14ac:dyDescent="0.25">
      <c r="B36" t="s">
        <v>69</v>
      </c>
      <c r="AF36">
        <v>3900</v>
      </c>
      <c r="AG36">
        <v>600</v>
      </c>
      <c r="AH36">
        <v>500</v>
      </c>
      <c r="AJ36">
        <v>0</v>
      </c>
    </row>
    <row r="37" spans="2:49" x14ac:dyDescent="0.25">
      <c r="B37" t="s">
        <v>70</v>
      </c>
      <c r="I37">
        <v>800</v>
      </c>
      <c r="O37">
        <v>1100</v>
      </c>
      <c r="AB37">
        <v>350</v>
      </c>
      <c r="AK37">
        <v>0</v>
      </c>
      <c r="AO37">
        <v>600</v>
      </c>
      <c r="AU37">
        <v>360</v>
      </c>
    </row>
    <row r="38" spans="2:49" x14ac:dyDescent="0.25">
      <c r="B38" t="s">
        <v>71</v>
      </c>
      <c r="AL38">
        <v>0</v>
      </c>
      <c r="AQ38">
        <v>2500</v>
      </c>
    </row>
    <row r="39" spans="2:49" x14ac:dyDescent="0.25">
      <c r="B39" t="s">
        <v>72</v>
      </c>
      <c r="G39">
        <v>500</v>
      </c>
      <c r="Q39">
        <v>350</v>
      </c>
      <c r="AM39">
        <v>0</v>
      </c>
      <c r="AN39">
        <v>250</v>
      </c>
    </row>
    <row r="40" spans="2:49" x14ac:dyDescent="0.25">
      <c r="B40" t="s">
        <v>73</v>
      </c>
      <c r="C40">
        <v>210</v>
      </c>
      <c r="F40">
        <v>150</v>
      </c>
      <c r="G40">
        <v>150</v>
      </c>
      <c r="H40">
        <v>150</v>
      </c>
      <c r="Q40">
        <v>200</v>
      </c>
      <c r="Z40">
        <v>600</v>
      </c>
      <c r="AC40">
        <v>150</v>
      </c>
      <c r="AE40">
        <v>150</v>
      </c>
      <c r="AM40">
        <v>250</v>
      </c>
      <c r="AN40">
        <v>0</v>
      </c>
    </row>
    <row r="41" spans="2:49" x14ac:dyDescent="0.25">
      <c r="B41" t="s">
        <v>74</v>
      </c>
      <c r="I41">
        <v>500</v>
      </c>
      <c r="Q41">
        <v>700</v>
      </c>
      <c r="AK41">
        <v>600</v>
      </c>
      <c r="AO41">
        <v>0</v>
      </c>
    </row>
    <row r="42" spans="2:49" x14ac:dyDescent="0.25">
      <c r="B42" t="s">
        <v>75</v>
      </c>
      <c r="D42">
        <v>900</v>
      </c>
      <c r="H42">
        <v>500</v>
      </c>
      <c r="Q42">
        <v>150</v>
      </c>
      <c r="V42">
        <v>426</v>
      </c>
      <c r="AP42">
        <v>0</v>
      </c>
    </row>
    <row r="43" spans="2:49" x14ac:dyDescent="0.25">
      <c r="B43" t="s">
        <v>76</v>
      </c>
      <c r="N43">
        <v>2250</v>
      </c>
      <c r="AL43">
        <v>3500</v>
      </c>
      <c r="AQ43">
        <v>0</v>
      </c>
    </row>
    <row r="44" spans="2:49" x14ac:dyDescent="0.25">
      <c r="B44" t="s">
        <v>77</v>
      </c>
      <c r="M44">
        <v>1500</v>
      </c>
      <c r="AI44">
        <v>600</v>
      </c>
      <c r="AR44">
        <v>0</v>
      </c>
      <c r="AS44">
        <v>3300</v>
      </c>
    </row>
    <row r="45" spans="2:49" x14ac:dyDescent="0.25">
      <c r="B45" t="s">
        <v>78</v>
      </c>
      <c r="AH45">
        <v>1000</v>
      </c>
      <c r="AI45">
        <v>300</v>
      </c>
      <c r="AR45">
        <v>3300</v>
      </c>
      <c r="AS45">
        <v>0</v>
      </c>
      <c r="AT45">
        <v>7300</v>
      </c>
    </row>
    <row r="46" spans="2:49" x14ac:dyDescent="0.25">
      <c r="B46" t="s">
        <v>79</v>
      </c>
      <c r="J46">
        <v>715</v>
      </c>
      <c r="M46">
        <v>1200</v>
      </c>
      <c r="AF46">
        <v>2095</v>
      </c>
      <c r="AS46">
        <v>7300</v>
      </c>
      <c r="AT46">
        <v>0</v>
      </c>
      <c r="AU46">
        <v>6200</v>
      </c>
    </row>
    <row r="47" spans="2:49" x14ac:dyDescent="0.25">
      <c r="B47" t="s">
        <v>80</v>
      </c>
      <c r="K47">
        <v>1300</v>
      </c>
      <c r="O47">
        <v>615</v>
      </c>
      <c r="AB47">
        <v>700</v>
      </c>
      <c r="AK47">
        <v>600</v>
      </c>
      <c r="AT47">
        <v>2800</v>
      </c>
      <c r="AU47">
        <v>0</v>
      </c>
    </row>
    <row r="48" spans="2:49" x14ac:dyDescent="0.25">
      <c r="B48" t="s">
        <v>81</v>
      </c>
      <c r="D48">
        <v>1200</v>
      </c>
      <c r="N48">
        <v>1900</v>
      </c>
      <c r="O48">
        <v>630</v>
      </c>
      <c r="V48">
        <v>2272</v>
      </c>
      <c r="AV48">
        <v>0</v>
      </c>
    </row>
    <row r="49" spans="2:49" x14ac:dyDescent="0.25">
      <c r="B49" t="s">
        <v>82</v>
      </c>
      <c r="E49">
        <v>750</v>
      </c>
      <c r="J49">
        <v>1456</v>
      </c>
      <c r="N49">
        <v>4028</v>
      </c>
      <c r="R49">
        <v>450</v>
      </c>
      <c r="AD49">
        <v>1016</v>
      </c>
      <c r="AG49">
        <v>1400</v>
      </c>
      <c r="AW4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4ACE-471D-4863-B41C-276FBB8E31C5}">
  <dimension ref="A3:W54"/>
  <sheetViews>
    <sheetView tabSelected="1" workbookViewId="0">
      <selection activeCell="S2" sqref="S2:X50"/>
    </sheetView>
  </sheetViews>
  <sheetFormatPr baseColWidth="10" defaultColWidth="9.140625" defaultRowHeight="15" x14ac:dyDescent="0.25"/>
  <cols>
    <col min="13" max="13" width="11" bestFit="1" customWidth="1"/>
    <col min="24" max="24" width="11" bestFit="1" customWidth="1"/>
  </cols>
  <sheetData>
    <row r="3" spans="2:23" x14ac:dyDescent="0.25">
      <c r="G3" t="s">
        <v>90</v>
      </c>
      <c r="H3" t="s">
        <v>88</v>
      </c>
      <c r="I3" t="s">
        <v>88</v>
      </c>
      <c r="J3" t="s">
        <v>89</v>
      </c>
    </row>
    <row r="4" spans="2:23" x14ac:dyDescent="0.25">
      <c r="B4" s="51"/>
      <c r="C4" s="51"/>
      <c r="D4" s="51"/>
      <c r="F4" s="51" t="s">
        <v>35</v>
      </c>
      <c r="G4" s="51">
        <v>1</v>
      </c>
      <c r="H4" s="55">
        <v>7.6245859999999999</v>
      </c>
      <c r="I4">
        <f>G4*H4</f>
        <v>7.6245859999999999</v>
      </c>
      <c r="J4">
        <f>I4*1000000</f>
        <v>7624586</v>
      </c>
      <c r="L4" s="55" t="s">
        <v>35</v>
      </c>
      <c r="M4">
        <v>7624586</v>
      </c>
      <c r="O4" t="s">
        <v>91</v>
      </c>
      <c r="P4">
        <v>2102226900.1594007</v>
      </c>
      <c r="S4" s="59"/>
      <c r="T4" s="59"/>
      <c r="U4" s="59"/>
      <c r="V4" s="59"/>
      <c r="W4" s="59"/>
    </row>
    <row r="5" spans="2:23" x14ac:dyDescent="0.25">
      <c r="B5" s="51"/>
      <c r="C5" s="51"/>
      <c r="F5" s="51" t="s">
        <v>36</v>
      </c>
      <c r="G5" s="51">
        <v>1</v>
      </c>
      <c r="H5" s="55">
        <v>58.801222500000002</v>
      </c>
      <c r="I5" s="55">
        <f t="shared" ref="I5:I50" si="0">G5*H5</f>
        <v>58.801222500000002</v>
      </c>
      <c r="J5" s="59">
        <f t="shared" ref="J5:J50" si="1">I5*1000000</f>
        <v>58801222.5</v>
      </c>
      <c r="L5" s="55" t="s">
        <v>36</v>
      </c>
      <c r="M5">
        <v>58801222.5</v>
      </c>
      <c r="S5" s="59"/>
      <c r="T5" s="59"/>
      <c r="U5" s="59"/>
      <c r="V5" s="59"/>
      <c r="W5" s="59"/>
    </row>
    <row r="6" spans="2:23" x14ac:dyDescent="0.25">
      <c r="B6" s="51"/>
      <c r="C6" s="51"/>
      <c r="F6" s="51" t="s">
        <v>37</v>
      </c>
      <c r="G6" s="51">
        <v>0.40400000000000003</v>
      </c>
      <c r="H6" s="55">
        <v>80.971502999999998</v>
      </c>
      <c r="I6" s="55">
        <f t="shared" si="0"/>
        <v>32.712487211999999</v>
      </c>
      <c r="J6" s="59">
        <f t="shared" si="1"/>
        <v>32712487.211999997</v>
      </c>
      <c r="L6" s="55" t="s">
        <v>37</v>
      </c>
      <c r="M6">
        <v>32712487.211999997</v>
      </c>
      <c r="S6" s="59"/>
      <c r="T6" s="59"/>
      <c r="U6" s="59"/>
      <c r="V6" s="59"/>
      <c r="W6" s="59"/>
    </row>
    <row r="7" spans="2:23" x14ac:dyDescent="0.25">
      <c r="B7" s="51"/>
      <c r="C7" s="51"/>
      <c r="F7" s="51" t="s">
        <v>38</v>
      </c>
      <c r="G7" s="51">
        <v>0.70099999999999996</v>
      </c>
      <c r="H7" s="55">
        <v>10.2715484</v>
      </c>
      <c r="I7" s="55">
        <f t="shared" si="0"/>
        <v>7.2003554284</v>
      </c>
      <c r="J7" s="59">
        <f t="shared" si="1"/>
        <v>7200355.4283999996</v>
      </c>
      <c r="L7" s="55" t="s">
        <v>38</v>
      </c>
      <c r="M7">
        <v>7200355.4283999996</v>
      </c>
      <c r="S7" s="59"/>
      <c r="T7" s="59"/>
      <c r="U7" s="59"/>
      <c r="V7" s="59"/>
      <c r="W7" s="59"/>
    </row>
    <row r="8" spans="2:23" x14ac:dyDescent="0.25">
      <c r="B8" s="51"/>
      <c r="C8" s="51"/>
      <c r="F8" s="51" t="s">
        <v>39</v>
      </c>
      <c r="G8" s="51">
        <v>0.34699999999999998</v>
      </c>
      <c r="H8" s="55">
        <v>36.766505000000002</v>
      </c>
      <c r="I8" s="55">
        <f t="shared" si="0"/>
        <v>12.757977235</v>
      </c>
      <c r="J8" s="59">
        <f t="shared" si="1"/>
        <v>12757977.234999999</v>
      </c>
      <c r="L8" s="55" t="s">
        <v>39</v>
      </c>
      <c r="M8">
        <v>12757977.234999999</v>
      </c>
      <c r="S8" s="59"/>
      <c r="T8" s="59"/>
      <c r="U8" s="59"/>
      <c r="V8" s="59"/>
      <c r="W8" s="59"/>
    </row>
    <row r="9" spans="2:23" x14ac:dyDescent="0.25">
      <c r="B9" s="51"/>
      <c r="C9" s="51"/>
      <c r="F9" s="51" t="s">
        <v>40</v>
      </c>
      <c r="G9" s="51">
        <v>0.73599999999999999</v>
      </c>
      <c r="H9" s="55">
        <v>18.290788249999999</v>
      </c>
      <c r="I9" s="55">
        <f t="shared" si="0"/>
        <v>13.462020151999999</v>
      </c>
      <c r="J9" s="59">
        <f t="shared" si="1"/>
        <v>13462020.151999999</v>
      </c>
      <c r="L9" s="55" t="s">
        <v>40</v>
      </c>
      <c r="M9">
        <v>13462020.151999999</v>
      </c>
      <c r="S9" s="59"/>
      <c r="T9" s="59"/>
      <c r="U9" s="59"/>
      <c r="V9" s="59"/>
      <c r="W9" s="59"/>
    </row>
    <row r="10" spans="2:23" x14ac:dyDescent="0.25">
      <c r="B10" s="51"/>
      <c r="C10" s="51"/>
      <c r="F10" s="51" t="s">
        <v>41</v>
      </c>
      <c r="G10" s="51">
        <v>0.28000000000000003</v>
      </c>
      <c r="H10" s="55">
        <v>60.922427999999996</v>
      </c>
      <c r="I10" s="55">
        <f t="shared" si="0"/>
        <v>17.058279840000001</v>
      </c>
      <c r="J10" s="59">
        <f t="shared" si="1"/>
        <v>17058279.84</v>
      </c>
      <c r="L10" s="55" t="s">
        <v>41</v>
      </c>
      <c r="M10">
        <v>17058279.84</v>
      </c>
      <c r="S10" s="59"/>
      <c r="T10" s="59"/>
      <c r="U10" s="59"/>
      <c r="V10" s="59"/>
      <c r="W10" s="59"/>
    </row>
    <row r="11" spans="2:23" x14ac:dyDescent="0.25">
      <c r="B11" s="51"/>
      <c r="C11" s="51"/>
      <c r="F11" s="51" t="s">
        <v>42</v>
      </c>
      <c r="G11">
        <v>1</v>
      </c>
      <c r="H11" s="55">
        <v>22.584859999999999</v>
      </c>
      <c r="I11" s="55">
        <f t="shared" si="0"/>
        <v>22.584859999999999</v>
      </c>
      <c r="J11" s="59">
        <f t="shared" si="1"/>
        <v>22584860</v>
      </c>
      <c r="L11" s="55" t="s">
        <v>42</v>
      </c>
      <c r="M11">
        <v>22584860</v>
      </c>
      <c r="S11" s="59"/>
      <c r="T11" s="59"/>
      <c r="U11" s="59"/>
      <c r="V11" s="59"/>
      <c r="W11" s="59"/>
    </row>
    <row r="12" spans="2:23" x14ac:dyDescent="0.25">
      <c r="B12" s="51"/>
      <c r="C12" s="51"/>
      <c r="F12" s="51" t="s">
        <v>43</v>
      </c>
      <c r="G12">
        <v>1</v>
      </c>
      <c r="H12" s="55">
        <v>14.195790000000001</v>
      </c>
      <c r="I12" s="55">
        <f t="shared" si="0"/>
        <v>14.195790000000001</v>
      </c>
      <c r="J12" s="59">
        <f t="shared" si="1"/>
        <v>14195790</v>
      </c>
      <c r="L12" s="55" t="s">
        <v>43</v>
      </c>
      <c r="M12">
        <v>14195790</v>
      </c>
      <c r="S12" s="59"/>
      <c r="T12" s="59"/>
      <c r="U12" s="59"/>
      <c r="V12" s="59"/>
      <c r="W12" s="59"/>
    </row>
    <row r="13" spans="2:23" x14ac:dyDescent="0.25">
      <c r="B13" s="51"/>
      <c r="C13" s="51"/>
      <c r="F13" s="51" t="s">
        <v>44</v>
      </c>
      <c r="G13" s="51">
        <v>1</v>
      </c>
      <c r="H13" s="55">
        <v>7.9531809999999998</v>
      </c>
      <c r="I13" s="55">
        <f t="shared" si="0"/>
        <v>7.9531809999999998</v>
      </c>
      <c r="J13" s="59">
        <f t="shared" si="1"/>
        <v>7953181</v>
      </c>
      <c r="L13" s="55" t="s">
        <v>44</v>
      </c>
      <c r="M13">
        <v>7953181</v>
      </c>
      <c r="S13" s="59"/>
      <c r="T13" s="59"/>
      <c r="U13" s="59"/>
      <c r="V13" s="59"/>
      <c r="W13" s="59"/>
    </row>
    <row r="14" spans="2:23" x14ac:dyDescent="0.25">
      <c r="B14" s="51"/>
      <c r="C14" s="51"/>
      <c r="F14" s="51" t="s">
        <v>45</v>
      </c>
      <c r="G14" s="51">
        <v>0.65</v>
      </c>
      <c r="H14" s="55">
        <v>81.966445500000006</v>
      </c>
      <c r="I14" s="55">
        <f t="shared" si="0"/>
        <v>53.278189575000006</v>
      </c>
      <c r="J14" s="59">
        <f t="shared" si="1"/>
        <v>53278189.575000003</v>
      </c>
      <c r="L14" s="55" t="s">
        <v>45</v>
      </c>
      <c r="M14">
        <v>53278189.575000003</v>
      </c>
      <c r="S14" s="59"/>
      <c r="T14" s="59"/>
      <c r="U14" s="59"/>
      <c r="V14" s="59"/>
      <c r="W14" s="59"/>
    </row>
    <row r="15" spans="2:23" x14ac:dyDescent="0.25">
      <c r="B15" s="51"/>
      <c r="C15" s="51"/>
      <c r="F15" s="51" t="s">
        <v>46</v>
      </c>
      <c r="G15" s="51">
        <v>0.35</v>
      </c>
      <c r="H15" s="55">
        <v>429.68577099999999</v>
      </c>
      <c r="I15" s="55">
        <f t="shared" si="0"/>
        <v>150.39001984999999</v>
      </c>
      <c r="J15" s="59">
        <f t="shared" si="1"/>
        <v>150390019.84999999</v>
      </c>
      <c r="L15" s="55" t="s">
        <v>46</v>
      </c>
      <c r="M15">
        <v>150390019.84999999</v>
      </c>
      <c r="S15" s="59"/>
      <c r="T15" s="59"/>
      <c r="U15" s="59"/>
      <c r="V15" s="59"/>
      <c r="W15" s="59"/>
    </row>
    <row r="16" spans="2:23" x14ac:dyDescent="0.25">
      <c r="B16" s="51"/>
      <c r="C16" s="51"/>
      <c r="F16" s="51" t="s">
        <v>48</v>
      </c>
      <c r="G16" s="51">
        <v>0.8</v>
      </c>
      <c r="H16" s="55">
        <v>470.39642950000001</v>
      </c>
      <c r="I16" s="55">
        <f t="shared" si="0"/>
        <v>376.31714360000001</v>
      </c>
      <c r="J16" s="59">
        <f t="shared" si="1"/>
        <v>376317143.60000002</v>
      </c>
      <c r="L16" s="55" t="s">
        <v>48</v>
      </c>
      <c r="M16">
        <v>376317143.60000002</v>
      </c>
      <c r="S16" s="59"/>
      <c r="T16" s="59"/>
      <c r="U16" s="59"/>
      <c r="V16" s="59"/>
      <c r="W16" s="59"/>
    </row>
    <row r="17" spans="2:23" x14ac:dyDescent="0.25">
      <c r="B17" s="51"/>
      <c r="C17" s="51"/>
      <c r="F17" s="51" t="s">
        <v>49</v>
      </c>
      <c r="G17" s="51">
        <v>0.82</v>
      </c>
      <c r="H17" s="55">
        <v>50.445981000000003</v>
      </c>
      <c r="I17" s="55">
        <f t="shared" si="0"/>
        <v>41.36570442</v>
      </c>
      <c r="J17" s="59">
        <f t="shared" si="1"/>
        <v>41365704.420000002</v>
      </c>
      <c r="L17" s="55" t="s">
        <v>49</v>
      </c>
      <c r="M17">
        <v>41365704.420000002</v>
      </c>
      <c r="S17" s="59"/>
      <c r="T17" s="59"/>
      <c r="U17" s="59"/>
      <c r="V17" s="59"/>
      <c r="W17" s="59"/>
    </row>
    <row r="18" spans="2:23" x14ac:dyDescent="0.25">
      <c r="B18" s="51"/>
      <c r="C18" s="51"/>
      <c r="F18" s="51" t="s">
        <v>50</v>
      </c>
      <c r="G18" s="51">
        <v>0.3</v>
      </c>
      <c r="H18" s="55">
        <v>43.366879833333329</v>
      </c>
      <c r="I18" s="55">
        <f t="shared" si="0"/>
        <v>13.010063949999997</v>
      </c>
      <c r="J18" s="59">
        <f t="shared" si="1"/>
        <v>13010063.949999997</v>
      </c>
      <c r="L18" s="55" t="s">
        <v>50</v>
      </c>
      <c r="M18">
        <v>13010063.949999997</v>
      </c>
      <c r="S18" s="59"/>
      <c r="T18" s="59"/>
      <c r="U18" s="59"/>
      <c r="V18" s="59"/>
      <c r="W18" s="59"/>
    </row>
    <row r="19" spans="2:23" x14ac:dyDescent="0.25">
      <c r="B19" s="51"/>
      <c r="C19" s="51"/>
      <c r="F19" s="51" t="s">
        <v>51</v>
      </c>
      <c r="G19" s="51">
        <v>0.8</v>
      </c>
      <c r="H19" s="55">
        <v>40.898534625000003</v>
      </c>
      <c r="I19" s="55">
        <f t="shared" si="0"/>
        <v>32.718827700000006</v>
      </c>
      <c r="J19" s="59">
        <f t="shared" si="1"/>
        <v>32718827.700000007</v>
      </c>
      <c r="L19" s="55" t="s">
        <v>51</v>
      </c>
      <c r="M19">
        <v>32718827.700000007</v>
      </c>
      <c r="S19" s="59"/>
      <c r="T19" s="59"/>
      <c r="U19" s="59"/>
      <c r="V19" s="59"/>
      <c r="W19" s="59"/>
    </row>
    <row r="20" spans="2:23" x14ac:dyDescent="0.25">
      <c r="B20" s="51"/>
      <c r="C20" s="51"/>
      <c r="F20" s="51" t="s">
        <v>52</v>
      </c>
      <c r="G20" s="51">
        <v>0.65</v>
      </c>
      <c r="H20" s="55">
        <v>5.8393110000000004</v>
      </c>
      <c r="I20" s="55">
        <f t="shared" si="0"/>
        <v>3.7955521500000002</v>
      </c>
      <c r="J20" s="59">
        <f t="shared" si="1"/>
        <v>3795552.1500000004</v>
      </c>
      <c r="L20" s="55" t="s">
        <v>52</v>
      </c>
      <c r="M20">
        <v>3795552.1500000004</v>
      </c>
      <c r="S20" s="59"/>
      <c r="T20" s="59"/>
      <c r="U20" s="59"/>
      <c r="V20" s="59"/>
      <c r="W20" s="59"/>
    </row>
    <row r="21" spans="2:23" x14ac:dyDescent="0.25">
      <c r="B21" s="51"/>
      <c r="C21" s="39"/>
      <c r="F21" s="51" t="s">
        <v>53</v>
      </c>
      <c r="G21" s="51">
        <v>0.65</v>
      </c>
      <c r="H21" s="55">
        <v>23.788879999999999</v>
      </c>
      <c r="I21" s="55">
        <f t="shared" si="0"/>
        <v>15.462771999999999</v>
      </c>
      <c r="J21" s="59">
        <f t="shared" si="1"/>
        <v>15462772</v>
      </c>
      <c r="L21" s="55" t="s">
        <v>53</v>
      </c>
      <c r="M21">
        <v>15462772</v>
      </c>
      <c r="S21" s="59"/>
      <c r="T21" s="59"/>
      <c r="U21" s="59"/>
      <c r="V21" s="59"/>
      <c r="W21" s="59"/>
    </row>
    <row r="22" spans="2:23" x14ac:dyDescent="0.25">
      <c r="B22" s="51"/>
      <c r="C22" s="39"/>
      <c r="F22" s="51" t="s">
        <v>54</v>
      </c>
      <c r="G22" s="51">
        <v>0.65</v>
      </c>
      <c r="H22" s="55">
        <v>49.385815999999998</v>
      </c>
      <c r="I22" s="55">
        <f t="shared" si="0"/>
        <v>32.100780399999998</v>
      </c>
      <c r="J22" s="59">
        <f t="shared" si="1"/>
        <v>32100780.399999999</v>
      </c>
      <c r="L22" s="55" t="s">
        <v>54</v>
      </c>
      <c r="M22">
        <v>32100780.399999999</v>
      </c>
      <c r="S22" s="59"/>
      <c r="T22" s="59"/>
      <c r="U22" s="59"/>
      <c r="V22" s="59"/>
      <c r="W22" s="59"/>
    </row>
    <row r="23" spans="2:23" x14ac:dyDescent="0.25">
      <c r="B23" s="51"/>
      <c r="C23" s="51"/>
      <c r="F23" s="51" t="s">
        <v>55</v>
      </c>
      <c r="G23" s="51">
        <v>0.65</v>
      </c>
      <c r="H23" s="55">
        <v>155.42782199999999</v>
      </c>
      <c r="I23" s="55">
        <f t="shared" si="0"/>
        <v>101.0280843</v>
      </c>
      <c r="J23" s="59">
        <f t="shared" si="1"/>
        <v>101028084.3</v>
      </c>
      <c r="L23" s="55" t="s">
        <v>55</v>
      </c>
      <c r="M23">
        <v>101028084.3</v>
      </c>
      <c r="S23" s="59"/>
      <c r="T23" s="59"/>
      <c r="U23" s="59"/>
      <c r="V23" s="59"/>
      <c r="W23" s="59"/>
    </row>
    <row r="24" spans="2:23" x14ac:dyDescent="0.25">
      <c r="B24" s="51"/>
      <c r="C24" s="39"/>
      <c r="F24" s="51" t="s">
        <v>56</v>
      </c>
      <c r="G24" s="51">
        <v>0.65</v>
      </c>
      <c r="H24" s="55">
        <v>8.11341</v>
      </c>
      <c r="I24" s="55">
        <f t="shared" si="0"/>
        <v>5.2737164999999999</v>
      </c>
      <c r="J24" s="59">
        <f t="shared" si="1"/>
        <v>5273716.5</v>
      </c>
      <c r="L24" s="55" t="s">
        <v>56</v>
      </c>
      <c r="M24">
        <v>5273716.5</v>
      </c>
      <c r="S24" s="59"/>
      <c r="T24" s="59"/>
      <c r="U24" s="59"/>
      <c r="V24" s="59"/>
      <c r="W24" s="59"/>
    </row>
    <row r="25" spans="2:23" x14ac:dyDescent="0.25">
      <c r="B25" s="51"/>
      <c r="C25" s="51"/>
      <c r="F25" s="51" t="s">
        <v>57</v>
      </c>
      <c r="G25" s="51">
        <v>0.65</v>
      </c>
      <c r="H25" s="55">
        <v>17.123932</v>
      </c>
      <c r="I25" s="55">
        <f t="shared" si="0"/>
        <v>11.1305558</v>
      </c>
      <c r="J25" s="59">
        <f t="shared" si="1"/>
        <v>11130555.799999999</v>
      </c>
      <c r="L25" s="55" t="s">
        <v>57</v>
      </c>
      <c r="M25">
        <v>11130555.799999999</v>
      </c>
      <c r="S25" s="59"/>
      <c r="T25" s="59"/>
      <c r="U25" s="59"/>
      <c r="V25" s="59"/>
      <c r="W25" s="59"/>
    </row>
    <row r="26" spans="2:23" x14ac:dyDescent="0.25">
      <c r="B26" s="51"/>
      <c r="C26" s="51"/>
      <c r="F26" s="51" t="s">
        <v>58</v>
      </c>
      <c r="G26" s="51">
        <v>0.65</v>
      </c>
      <c r="H26" s="55">
        <v>19.393899000000001</v>
      </c>
      <c r="I26" s="55">
        <f t="shared" si="0"/>
        <v>12.606034350000002</v>
      </c>
      <c r="J26" s="59">
        <f t="shared" si="1"/>
        <v>12606034.350000001</v>
      </c>
      <c r="L26" s="55" t="s">
        <v>58</v>
      </c>
      <c r="M26">
        <v>12606034.350000001</v>
      </c>
      <c r="S26" s="59"/>
      <c r="T26" s="59"/>
      <c r="U26" s="59"/>
      <c r="V26" s="59"/>
      <c r="W26" s="59"/>
    </row>
    <row r="27" spans="2:23" x14ac:dyDescent="0.25">
      <c r="B27" s="51"/>
      <c r="C27" s="39"/>
      <c r="F27" s="51" t="s">
        <v>59</v>
      </c>
      <c r="G27" s="39">
        <v>0.45</v>
      </c>
      <c r="H27" s="55">
        <v>6.4927520000000003</v>
      </c>
      <c r="I27" s="55">
        <f t="shared" si="0"/>
        <v>2.9217384000000002</v>
      </c>
      <c r="J27" s="59">
        <f t="shared" si="1"/>
        <v>2921738.4000000004</v>
      </c>
      <c r="L27" s="55" t="s">
        <v>59</v>
      </c>
      <c r="M27">
        <v>2921738.4000000004</v>
      </c>
      <c r="S27" s="59"/>
      <c r="T27" s="59"/>
      <c r="U27" s="59"/>
      <c r="V27" s="59"/>
      <c r="W27" s="59"/>
    </row>
    <row r="28" spans="2:23" x14ac:dyDescent="0.25">
      <c r="B28" s="51"/>
      <c r="C28" s="51"/>
      <c r="F28" s="51" t="s">
        <v>60</v>
      </c>
      <c r="G28" s="39">
        <v>0.56999999999999995</v>
      </c>
      <c r="H28" s="55">
        <v>6.9798619000000128</v>
      </c>
      <c r="I28" s="55">
        <f t="shared" si="0"/>
        <v>3.9785212830000072</v>
      </c>
      <c r="J28" s="59">
        <f t="shared" si="1"/>
        <v>3978521.2830000073</v>
      </c>
      <c r="L28" s="55" t="s">
        <v>60</v>
      </c>
      <c r="M28">
        <v>3978521.2830000073</v>
      </c>
      <c r="S28" s="59"/>
      <c r="T28" s="59"/>
      <c r="U28" s="59"/>
      <c r="V28" s="59"/>
      <c r="W28" s="59"/>
    </row>
    <row r="29" spans="2:23" x14ac:dyDescent="0.25">
      <c r="B29" s="51"/>
      <c r="C29" s="51"/>
      <c r="F29" s="51" t="s">
        <v>61</v>
      </c>
      <c r="G29" s="51">
        <v>1</v>
      </c>
      <c r="H29" s="55">
        <v>12.14179225</v>
      </c>
      <c r="I29" s="55">
        <f t="shared" si="0"/>
        <v>12.14179225</v>
      </c>
      <c r="J29" s="59">
        <f t="shared" si="1"/>
        <v>12141792.25</v>
      </c>
      <c r="L29" s="55" t="s">
        <v>61</v>
      </c>
      <c r="M29">
        <v>12141792.25</v>
      </c>
      <c r="S29" s="59"/>
      <c r="T29" s="59"/>
      <c r="U29" s="59"/>
      <c r="V29" s="59"/>
      <c r="W29" s="59"/>
    </row>
    <row r="30" spans="2:23" x14ac:dyDescent="0.25">
      <c r="B30" s="51"/>
      <c r="C30" s="51"/>
      <c r="F30" s="51" t="s">
        <v>62</v>
      </c>
      <c r="G30" s="39">
        <v>0.7</v>
      </c>
      <c r="H30" s="55">
        <v>3.0135429999999999</v>
      </c>
      <c r="I30" s="55">
        <f t="shared" si="0"/>
        <v>2.1094800999999999</v>
      </c>
      <c r="J30" s="59">
        <f t="shared" si="1"/>
        <v>2109480.0999999996</v>
      </c>
      <c r="L30" s="55" t="s">
        <v>62</v>
      </c>
      <c r="M30">
        <v>2109480.0999999996</v>
      </c>
      <c r="S30" s="59"/>
      <c r="T30" s="59"/>
      <c r="U30" s="59"/>
      <c r="V30" s="59"/>
      <c r="W30" s="59"/>
    </row>
    <row r="31" spans="2:23" x14ac:dyDescent="0.25">
      <c r="B31" s="51"/>
      <c r="C31" s="51"/>
      <c r="F31" s="51" t="s">
        <v>63</v>
      </c>
      <c r="G31" s="51">
        <v>0.75</v>
      </c>
      <c r="H31" s="55">
        <v>115.0430495</v>
      </c>
      <c r="I31" s="55">
        <f t="shared" si="0"/>
        <v>86.282287124999996</v>
      </c>
      <c r="J31" s="59">
        <f t="shared" si="1"/>
        <v>86282287.125</v>
      </c>
      <c r="L31" s="55" t="s">
        <v>63</v>
      </c>
      <c r="M31">
        <v>86282287.125</v>
      </c>
      <c r="S31" s="59"/>
      <c r="T31" s="59"/>
      <c r="U31" s="59"/>
      <c r="V31" s="59"/>
      <c r="W31" s="59"/>
    </row>
    <row r="32" spans="2:23" x14ac:dyDescent="0.25">
      <c r="B32" s="51"/>
      <c r="C32" s="51"/>
      <c r="F32" s="51" t="s">
        <v>64</v>
      </c>
      <c r="G32" s="51">
        <v>0.66</v>
      </c>
      <c r="H32" s="55">
        <v>5.2792979999999998</v>
      </c>
      <c r="I32" s="55">
        <f t="shared" si="0"/>
        <v>3.4843366800000002</v>
      </c>
      <c r="J32" s="59">
        <f t="shared" si="1"/>
        <v>3484336.68</v>
      </c>
      <c r="L32" s="55" t="s">
        <v>64</v>
      </c>
      <c r="M32">
        <v>3484336.68</v>
      </c>
      <c r="S32" s="59"/>
      <c r="T32" s="59"/>
      <c r="U32" s="59"/>
      <c r="V32" s="59"/>
      <c r="W32" s="59"/>
    </row>
    <row r="33" spans="2:23" x14ac:dyDescent="0.25">
      <c r="B33" s="51"/>
      <c r="C33" s="51"/>
      <c r="F33" s="51" t="s">
        <v>65</v>
      </c>
      <c r="G33">
        <v>1</v>
      </c>
      <c r="H33" s="55">
        <v>35.084760000000003</v>
      </c>
      <c r="I33" s="55">
        <f t="shared" si="0"/>
        <v>35.084760000000003</v>
      </c>
      <c r="J33" s="59">
        <f t="shared" si="1"/>
        <v>35084760</v>
      </c>
      <c r="L33" s="55" t="s">
        <v>65</v>
      </c>
      <c r="M33">
        <v>35084760</v>
      </c>
      <c r="S33" s="59"/>
      <c r="T33" s="59"/>
      <c r="U33" s="59"/>
      <c r="V33" s="59"/>
      <c r="W33" s="59"/>
    </row>
    <row r="34" spans="2:23" x14ac:dyDescent="0.25">
      <c r="B34" s="51"/>
      <c r="C34" s="51"/>
      <c r="F34" s="51" t="s">
        <v>66</v>
      </c>
      <c r="G34" s="51">
        <v>1</v>
      </c>
      <c r="H34" s="55">
        <v>36.079628</v>
      </c>
      <c r="I34" s="55">
        <f t="shared" si="0"/>
        <v>36.079628</v>
      </c>
      <c r="J34" s="59">
        <f t="shared" si="1"/>
        <v>36079628</v>
      </c>
      <c r="L34" s="55" t="s">
        <v>66</v>
      </c>
      <c r="M34">
        <v>36079628</v>
      </c>
      <c r="S34" s="59"/>
      <c r="T34" s="59"/>
      <c r="U34" s="59"/>
      <c r="V34" s="59"/>
      <c r="W34" s="59"/>
    </row>
    <row r="35" spans="2:23" x14ac:dyDescent="0.25">
      <c r="B35" s="51"/>
      <c r="C35" s="51"/>
      <c r="F35" s="51" t="s">
        <v>67</v>
      </c>
      <c r="G35" s="51">
        <v>1</v>
      </c>
      <c r="H35" s="55">
        <v>28.418330999999998</v>
      </c>
      <c r="I35" s="55">
        <f t="shared" si="0"/>
        <v>28.418330999999998</v>
      </c>
      <c r="J35" s="59">
        <f t="shared" si="1"/>
        <v>28418331</v>
      </c>
      <c r="L35" s="55" t="s">
        <v>67</v>
      </c>
      <c r="M35">
        <v>28418331</v>
      </c>
      <c r="S35" s="59"/>
      <c r="T35" s="59"/>
      <c r="U35" s="59"/>
      <c r="V35" s="59"/>
      <c r="W35" s="59"/>
    </row>
    <row r="36" spans="2:23" x14ac:dyDescent="0.25">
      <c r="B36" s="51"/>
      <c r="C36" s="51"/>
      <c r="F36" s="51" t="s">
        <v>68</v>
      </c>
      <c r="G36" s="51">
        <v>1</v>
      </c>
      <c r="H36" s="55">
        <v>20.164981999999998</v>
      </c>
      <c r="I36" s="55">
        <f t="shared" si="0"/>
        <v>20.164981999999998</v>
      </c>
      <c r="J36" s="59">
        <f t="shared" si="1"/>
        <v>20164982</v>
      </c>
      <c r="L36" s="55" t="s">
        <v>68</v>
      </c>
      <c r="M36">
        <v>20164982</v>
      </c>
      <c r="S36" s="59"/>
      <c r="T36" s="59"/>
      <c r="U36" s="59"/>
      <c r="V36" s="59"/>
      <c r="W36" s="59"/>
    </row>
    <row r="37" spans="2:23" x14ac:dyDescent="0.25">
      <c r="B37" s="51"/>
      <c r="C37" s="51"/>
      <c r="F37" s="51" t="s">
        <v>69</v>
      </c>
      <c r="G37" s="51">
        <v>1</v>
      </c>
      <c r="H37" s="55">
        <v>17.085737000000002</v>
      </c>
      <c r="I37" s="55">
        <f t="shared" si="0"/>
        <v>17.085737000000002</v>
      </c>
      <c r="J37" s="59">
        <f t="shared" si="1"/>
        <v>17085737</v>
      </c>
      <c r="L37" s="55" t="s">
        <v>69</v>
      </c>
      <c r="M37">
        <v>17085737</v>
      </c>
      <c r="S37" s="59"/>
      <c r="T37" s="59"/>
      <c r="U37" s="59"/>
      <c r="V37" s="59"/>
      <c r="W37" s="59"/>
    </row>
    <row r="38" spans="2:23" x14ac:dyDescent="0.25">
      <c r="B38" s="51"/>
      <c r="C38" s="51"/>
      <c r="F38" s="51" t="s">
        <v>70</v>
      </c>
      <c r="G38" s="51">
        <v>0.56000000000000005</v>
      </c>
      <c r="H38" s="55">
        <v>163.59885350000073</v>
      </c>
      <c r="I38" s="55">
        <f t="shared" si="0"/>
        <v>91.615357960000424</v>
      </c>
      <c r="J38" s="59">
        <f t="shared" si="1"/>
        <v>91615357.960000426</v>
      </c>
      <c r="L38" s="55" t="s">
        <v>70</v>
      </c>
      <c r="M38">
        <v>91615357.960000426</v>
      </c>
      <c r="S38" s="59"/>
      <c r="T38" s="59"/>
      <c r="U38" s="59"/>
      <c r="V38" s="59"/>
      <c r="W38" s="59"/>
    </row>
    <row r="39" spans="2:23" x14ac:dyDescent="0.25">
      <c r="F39" s="51" t="s">
        <v>71</v>
      </c>
      <c r="G39" s="51">
        <v>0.93</v>
      </c>
      <c r="H39" s="55">
        <v>51.397930000000002</v>
      </c>
      <c r="I39" s="55">
        <f t="shared" si="0"/>
        <v>47.800074900000006</v>
      </c>
      <c r="J39" s="59">
        <f t="shared" si="1"/>
        <v>47800074.900000006</v>
      </c>
      <c r="L39" s="55" t="s">
        <v>71</v>
      </c>
      <c r="M39">
        <v>47800074.900000006</v>
      </c>
      <c r="S39" s="59"/>
      <c r="T39" s="59"/>
      <c r="U39" s="59"/>
      <c r="V39" s="59"/>
      <c r="W39" s="59"/>
    </row>
    <row r="40" spans="2:23" x14ac:dyDescent="0.25">
      <c r="B40" s="37"/>
      <c r="F40" s="51" t="s">
        <v>72</v>
      </c>
      <c r="G40" s="51">
        <v>0.75</v>
      </c>
      <c r="H40" s="55">
        <v>54.302563333333332</v>
      </c>
      <c r="I40" s="55">
        <f t="shared" si="0"/>
        <v>40.726922500000001</v>
      </c>
      <c r="J40" s="59">
        <f t="shared" si="1"/>
        <v>40726922.5</v>
      </c>
      <c r="L40" s="55" t="s">
        <v>72</v>
      </c>
      <c r="M40">
        <v>40726922.5</v>
      </c>
      <c r="S40" s="59"/>
      <c r="T40" s="59"/>
      <c r="U40" s="59"/>
      <c r="V40" s="59"/>
      <c r="W40" s="59"/>
    </row>
    <row r="41" spans="2:23" x14ac:dyDescent="0.25">
      <c r="B41" s="37"/>
      <c r="F41" s="51" t="s">
        <v>73</v>
      </c>
      <c r="G41" s="51">
        <v>0.45</v>
      </c>
      <c r="H41" s="55">
        <v>34.299027000000002</v>
      </c>
      <c r="I41" s="55">
        <f t="shared" si="0"/>
        <v>15.434562150000001</v>
      </c>
      <c r="J41" s="59">
        <f t="shared" si="1"/>
        <v>15434562.150000002</v>
      </c>
      <c r="L41" s="55" t="s">
        <v>73</v>
      </c>
      <c r="M41">
        <v>15434562.150000002</v>
      </c>
      <c r="S41" s="59"/>
      <c r="T41" s="59"/>
      <c r="U41" s="59"/>
      <c r="V41" s="59"/>
      <c r="W41" s="59"/>
    </row>
    <row r="42" spans="2:23" x14ac:dyDescent="0.25">
      <c r="B42" s="37"/>
      <c r="F42" s="51" t="s">
        <v>74</v>
      </c>
      <c r="G42" s="51">
        <v>0.27300000000000002</v>
      </c>
      <c r="H42" s="55">
        <v>25.680623000000001</v>
      </c>
      <c r="I42" s="55">
        <f t="shared" si="0"/>
        <v>7.0108100790000005</v>
      </c>
      <c r="J42" s="59">
        <f t="shared" si="1"/>
        <v>7010810.0790000008</v>
      </c>
      <c r="L42" s="55" t="s">
        <v>74</v>
      </c>
      <c r="M42">
        <v>7010810.0790000008</v>
      </c>
      <c r="S42" s="59"/>
      <c r="T42" s="59"/>
      <c r="U42" s="59"/>
      <c r="V42" s="59"/>
      <c r="W42" s="59"/>
    </row>
    <row r="43" spans="2:23" x14ac:dyDescent="0.25">
      <c r="B43" s="37"/>
      <c r="F43" s="51" t="s">
        <v>75</v>
      </c>
      <c r="G43" s="51">
        <v>0.52</v>
      </c>
      <c r="H43" s="55">
        <v>12.469097</v>
      </c>
      <c r="I43" s="55">
        <f t="shared" si="0"/>
        <v>6.48393044</v>
      </c>
      <c r="J43" s="59">
        <f t="shared" si="1"/>
        <v>6483930.4400000004</v>
      </c>
      <c r="L43" s="55" t="s">
        <v>75</v>
      </c>
      <c r="M43">
        <v>6483930.4400000004</v>
      </c>
      <c r="S43" s="59"/>
      <c r="T43" s="59"/>
      <c r="U43" s="59"/>
      <c r="V43" s="59"/>
      <c r="W43" s="59"/>
    </row>
    <row r="44" spans="2:23" x14ac:dyDescent="0.25">
      <c r="B44" s="37"/>
      <c r="F44" s="51" t="s">
        <v>76</v>
      </c>
      <c r="G44" s="51">
        <v>0.81</v>
      </c>
      <c r="H44" s="55">
        <v>232.28005899999999</v>
      </c>
      <c r="I44" s="55">
        <f t="shared" si="0"/>
        <v>188.14684779000001</v>
      </c>
      <c r="J44" s="59">
        <f t="shared" si="1"/>
        <v>188146847.79000002</v>
      </c>
      <c r="L44" s="55" t="s">
        <v>76</v>
      </c>
      <c r="M44">
        <v>188146847.79000002</v>
      </c>
      <c r="S44" s="59"/>
      <c r="T44" s="59"/>
      <c r="U44" s="59"/>
      <c r="V44" s="59"/>
      <c r="W44" s="59"/>
    </row>
    <row r="45" spans="2:23" x14ac:dyDescent="0.25">
      <c r="B45" s="37"/>
      <c r="F45" s="51" t="s">
        <v>77</v>
      </c>
      <c r="G45" s="51">
        <v>0.81</v>
      </c>
      <c r="H45" s="55">
        <v>10.822604</v>
      </c>
      <c r="I45" s="55">
        <f t="shared" si="0"/>
        <v>8.76630924</v>
      </c>
      <c r="J45" s="59">
        <f t="shared" si="1"/>
        <v>8766309.2400000002</v>
      </c>
      <c r="L45" s="55" t="s">
        <v>77</v>
      </c>
      <c r="M45">
        <v>8766309.2400000002</v>
      </c>
      <c r="S45" s="59"/>
      <c r="T45" s="59"/>
      <c r="U45" s="59"/>
      <c r="V45" s="59"/>
      <c r="W45" s="59"/>
    </row>
    <row r="46" spans="2:23" x14ac:dyDescent="0.25">
      <c r="B46" s="37"/>
      <c r="F46" s="51" t="s">
        <v>78</v>
      </c>
      <c r="G46" s="51">
        <v>0.81</v>
      </c>
      <c r="H46" s="55">
        <v>15.139232</v>
      </c>
      <c r="I46" s="55">
        <f t="shared" si="0"/>
        <v>12.262777920000001</v>
      </c>
      <c r="J46" s="59">
        <f t="shared" si="1"/>
        <v>12262777.920000002</v>
      </c>
      <c r="L46" s="55" t="s">
        <v>78</v>
      </c>
      <c r="M46">
        <v>12262777.920000002</v>
      </c>
      <c r="S46" s="59"/>
      <c r="T46" s="59"/>
      <c r="U46" s="59"/>
      <c r="V46" s="59"/>
      <c r="W46" s="59"/>
    </row>
    <row r="47" spans="2:23" x14ac:dyDescent="0.25">
      <c r="B47" s="37"/>
      <c r="F47" s="51" t="s">
        <v>79</v>
      </c>
      <c r="G47" s="51">
        <v>0.81</v>
      </c>
      <c r="H47" s="55">
        <v>83.843277</v>
      </c>
      <c r="I47" s="55">
        <f t="shared" si="0"/>
        <v>67.913054370000012</v>
      </c>
      <c r="J47" s="59">
        <f t="shared" si="1"/>
        <v>67913054.370000005</v>
      </c>
      <c r="L47" s="55" t="s">
        <v>79</v>
      </c>
      <c r="M47">
        <v>67913054.370000005</v>
      </c>
      <c r="S47" s="59"/>
      <c r="T47" s="59"/>
      <c r="U47" s="59"/>
      <c r="V47" s="59"/>
      <c r="W47" s="59"/>
    </row>
    <row r="48" spans="2:23" x14ac:dyDescent="0.25">
      <c r="B48" s="37"/>
      <c r="F48" s="51" t="s">
        <v>80</v>
      </c>
      <c r="G48" s="51">
        <v>0.81</v>
      </c>
      <c r="H48" s="55">
        <v>22.049121</v>
      </c>
      <c r="I48" s="55">
        <f t="shared" si="0"/>
        <v>17.859788009999999</v>
      </c>
      <c r="J48" s="59">
        <f t="shared" si="1"/>
        <v>17859788.009999998</v>
      </c>
      <c r="L48" s="55" t="s">
        <v>80</v>
      </c>
      <c r="M48">
        <v>17859788.009999998</v>
      </c>
      <c r="S48" s="59"/>
      <c r="T48" s="59"/>
      <c r="U48" s="59"/>
      <c r="V48" s="59"/>
      <c r="W48" s="59"/>
    </row>
    <row r="49" spans="1:23" x14ac:dyDescent="0.25">
      <c r="B49" s="37"/>
      <c r="F49" s="51" t="s">
        <v>81</v>
      </c>
      <c r="G49">
        <v>1</v>
      </c>
      <c r="H49" s="55">
        <v>59.629449999999999</v>
      </c>
      <c r="I49" s="55">
        <f t="shared" si="0"/>
        <v>59.629449999999999</v>
      </c>
      <c r="J49" s="59">
        <f t="shared" si="1"/>
        <v>59629450</v>
      </c>
      <c r="L49" s="55" t="s">
        <v>81</v>
      </c>
      <c r="M49">
        <v>59629450</v>
      </c>
      <c r="S49" s="59"/>
      <c r="T49" s="59"/>
      <c r="U49" s="59"/>
      <c r="V49" s="59"/>
      <c r="W49" s="59"/>
    </row>
    <row r="50" spans="1:23" x14ac:dyDescent="0.25">
      <c r="B50" s="37"/>
      <c r="F50" s="51" t="s">
        <v>82</v>
      </c>
      <c r="G50">
        <v>1</v>
      </c>
      <c r="H50" s="55">
        <v>247.99721700000001</v>
      </c>
      <c r="I50" s="55">
        <f t="shared" si="0"/>
        <v>247.99721700000001</v>
      </c>
      <c r="J50" s="59">
        <f t="shared" si="1"/>
        <v>247997217</v>
      </c>
      <c r="L50" s="55" t="s">
        <v>82</v>
      </c>
      <c r="M50">
        <v>247997217</v>
      </c>
      <c r="S50" s="59"/>
      <c r="T50" s="59"/>
      <c r="U50" s="59"/>
      <c r="V50" s="59"/>
      <c r="W50" s="59"/>
    </row>
    <row r="51" spans="1:23" x14ac:dyDescent="0.25">
      <c r="B51" s="37"/>
      <c r="H51" s="55"/>
    </row>
    <row r="53" spans="1:23" x14ac:dyDescent="0.25">
      <c r="A53" t="s">
        <v>87</v>
      </c>
      <c r="M53">
        <f>SUM(M4:M50)</f>
        <v>2102226900.1594007</v>
      </c>
    </row>
    <row r="54" spans="1:23" x14ac:dyDescent="0.25">
      <c r="A54" t="s">
        <v>86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736B-23BA-463D-8183-F93D75CC47F7}">
  <dimension ref="B2:AX8"/>
  <sheetViews>
    <sheetView topLeftCell="B1" workbookViewId="0">
      <selection activeCell="C2" sqref="C2"/>
    </sheetView>
  </sheetViews>
  <sheetFormatPr baseColWidth="10" defaultColWidth="9.140625" defaultRowHeight="15" x14ac:dyDescent="0.25"/>
  <cols>
    <col min="2" max="2" width="10" bestFit="1" customWidth="1"/>
  </cols>
  <sheetData>
    <row r="2" spans="2:50" x14ac:dyDescent="0.25">
      <c r="C2" s="59" t="s">
        <v>35</v>
      </c>
      <c r="D2" s="59" t="s">
        <v>36</v>
      </c>
      <c r="E2" s="59" t="s">
        <v>37</v>
      </c>
      <c r="F2" s="59" t="s">
        <v>38</v>
      </c>
      <c r="G2" s="59" t="s">
        <v>39</v>
      </c>
      <c r="H2" s="59" t="s">
        <v>40</v>
      </c>
      <c r="I2" s="59" t="s">
        <v>41</v>
      </c>
      <c r="J2" s="59" t="s">
        <v>42</v>
      </c>
      <c r="K2" s="59" t="s">
        <v>43</v>
      </c>
      <c r="L2" s="59" t="s">
        <v>44</v>
      </c>
      <c r="M2" s="59" t="s">
        <v>45</v>
      </c>
      <c r="N2" s="59" t="s">
        <v>46</v>
      </c>
      <c r="O2" s="59" t="s">
        <v>48</v>
      </c>
      <c r="P2" s="59" t="s">
        <v>49</v>
      </c>
      <c r="Q2" s="59" t="s">
        <v>50</v>
      </c>
      <c r="R2" s="59" t="s">
        <v>51</v>
      </c>
      <c r="S2" s="59" t="s">
        <v>52</v>
      </c>
      <c r="T2" s="59" t="s">
        <v>53</v>
      </c>
      <c r="U2" s="59" t="s">
        <v>54</v>
      </c>
      <c r="V2" s="59" t="s">
        <v>55</v>
      </c>
      <c r="W2" s="59" t="s">
        <v>56</v>
      </c>
      <c r="X2" s="59" t="s">
        <v>57</v>
      </c>
      <c r="Y2" s="59" t="s">
        <v>58</v>
      </c>
      <c r="Z2" s="59" t="s">
        <v>59</v>
      </c>
      <c r="AA2" s="59" t="s">
        <v>60</v>
      </c>
      <c r="AB2" s="59" t="s">
        <v>61</v>
      </c>
      <c r="AC2" s="59" t="s">
        <v>62</v>
      </c>
      <c r="AD2" s="59" t="s">
        <v>63</v>
      </c>
      <c r="AE2" s="59" t="s">
        <v>64</v>
      </c>
      <c r="AF2" s="59" t="s">
        <v>65</v>
      </c>
      <c r="AG2" s="59" t="s">
        <v>66</v>
      </c>
      <c r="AH2" s="59" t="s">
        <v>67</v>
      </c>
      <c r="AI2" s="59" t="s">
        <v>68</v>
      </c>
      <c r="AJ2" s="59" t="s">
        <v>69</v>
      </c>
      <c r="AK2" s="59" t="s">
        <v>70</v>
      </c>
      <c r="AL2" s="59" t="s">
        <v>71</v>
      </c>
      <c r="AM2" s="59" t="s">
        <v>72</v>
      </c>
      <c r="AN2" s="59" t="s">
        <v>73</v>
      </c>
      <c r="AO2" s="59" t="s">
        <v>74</v>
      </c>
      <c r="AP2" s="59" t="s">
        <v>75</v>
      </c>
      <c r="AQ2" s="59" t="s">
        <v>76</v>
      </c>
      <c r="AR2" s="59" t="s">
        <v>77</v>
      </c>
      <c r="AS2" s="59" t="s">
        <v>78</v>
      </c>
      <c r="AT2" s="59" t="s">
        <v>79</v>
      </c>
      <c r="AU2" s="59" t="s">
        <v>80</v>
      </c>
      <c r="AV2" s="59" t="s">
        <v>81</v>
      </c>
      <c r="AW2" s="59" t="s">
        <v>82</v>
      </c>
    </row>
    <row r="3" spans="2:50" x14ac:dyDescent="0.25">
      <c r="B3" t="s">
        <v>14</v>
      </c>
      <c r="C3" s="59">
        <v>1676</v>
      </c>
      <c r="D3" s="59"/>
      <c r="E3" s="59"/>
      <c r="F3" s="59">
        <v>1456</v>
      </c>
      <c r="G3" s="59">
        <v>1807</v>
      </c>
      <c r="H3" s="59">
        <v>1446</v>
      </c>
      <c r="I3" s="59">
        <v>766</v>
      </c>
      <c r="J3" s="39"/>
      <c r="K3" s="39"/>
      <c r="L3" s="39"/>
      <c r="M3" s="39"/>
      <c r="N3" s="39">
        <v>8787</v>
      </c>
      <c r="O3" s="39">
        <v>1381</v>
      </c>
      <c r="P3" s="39">
        <v>2403</v>
      </c>
      <c r="Q3" s="39">
        <v>28</v>
      </c>
      <c r="R3" s="39"/>
      <c r="S3" s="41">
        <v>95.03658150175508</v>
      </c>
      <c r="T3" s="41">
        <v>387.17133458989792</v>
      </c>
      <c r="U3" s="41">
        <v>803.76933636771184</v>
      </c>
      <c r="V3" s="41">
        <v>2529.6355808319304</v>
      </c>
      <c r="W3" s="41">
        <v>132.04824177409881</v>
      </c>
      <c r="X3" s="41">
        <v>278.69725711620976</v>
      </c>
      <c r="Y3" s="41">
        <v>315.64166781839612</v>
      </c>
      <c r="Z3" s="59">
        <v>35</v>
      </c>
      <c r="AA3" s="59"/>
      <c r="AB3" s="59"/>
      <c r="AC3" s="59">
        <v>342</v>
      </c>
      <c r="AD3" s="59"/>
      <c r="AE3" s="59">
        <v>644</v>
      </c>
      <c r="AF3" s="59">
        <v>1419.81</v>
      </c>
      <c r="AG3" s="59">
        <v>9816.2999999999993</v>
      </c>
      <c r="AH3" s="59">
        <v>3415.56</v>
      </c>
      <c r="AI3" s="59">
        <v>4906.57</v>
      </c>
      <c r="AJ3" s="59">
        <v>7101.92</v>
      </c>
      <c r="AK3" s="59">
        <v>468</v>
      </c>
      <c r="AL3" s="59">
        <v>1629</v>
      </c>
      <c r="AM3" s="59">
        <v>3359</v>
      </c>
      <c r="AN3" s="59">
        <v>484</v>
      </c>
      <c r="AO3" s="59">
        <v>418</v>
      </c>
      <c r="AP3" s="59"/>
      <c r="AQ3" s="59">
        <v>15771</v>
      </c>
      <c r="AR3" s="41">
        <v>1337.9050474784149</v>
      </c>
      <c r="AS3" s="41">
        <v>1871.5324803297556</v>
      </c>
      <c r="AT3" s="41">
        <v>10364.820102022662</v>
      </c>
      <c r="AU3" s="41">
        <v>2725.7423701691673</v>
      </c>
      <c r="AV3" s="59">
        <v>5772</v>
      </c>
      <c r="AW3" s="59"/>
    </row>
    <row r="4" spans="2:50" x14ac:dyDescent="0.25">
      <c r="B4" t="s">
        <v>15</v>
      </c>
      <c r="C4" s="59"/>
      <c r="D4" s="59">
        <v>5817</v>
      </c>
      <c r="E4" s="59">
        <v>186</v>
      </c>
      <c r="F4" s="59">
        <v>252</v>
      </c>
      <c r="G4" s="59">
        <v>540</v>
      </c>
      <c r="H4" s="59">
        <v>428</v>
      </c>
      <c r="I4" s="59">
        <v>340</v>
      </c>
      <c r="J4" s="39"/>
      <c r="K4" s="39"/>
      <c r="L4" s="39">
        <v>8</v>
      </c>
      <c r="M4" s="39">
        <v>3173</v>
      </c>
      <c r="N4" s="39">
        <v>11598</v>
      </c>
      <c r="O4" s="39">
        <v>3731</v>
      </c>
      <c r="P4" s="39">
        <v>327</v>
      </c>
      <c r="Q4" s="39">
        <v>33</v>
      </c>
      <c r="R4" s="39">
        <v>216</v>
      </c>
      <c r="S4" s="41">
        <v>215.32837081342171</v>
      </c>
      <c r="T4" s="41">
        <v>877.23033999661811</v>
      </c>
      <c r="U4" s="41">
        <v>1821.1339146983978</v>
      </c>
      <c r="V4" s="41">
        <v>5731.5014888466303</v>
      </c>
      <c r="W4" s="41">
        <v>299.18724264580601</v>
      </c>
      <c r="X4" s="41">
        <v>631.45607066995035</v>
      </c>
      <c r="Y4" s="41">
        <v>715.1625723291753</v>
      </c>
      <c r="Z4" s="59">
        <v>33</v>
      </c>
      <c r="AA4" s="59">
        <v>1588</v>
      </c>
      <c r="AB4" s="59">
        <v>129</v>
      </c>
      <c r="AC4" s="59">
        <v>307</v>
      </c>
      <c r="AD4" s="59">
        <v>38</v>
      </c>
      <c r="AE4" s="59"/>
      <c r="AF4" s="59">
        <v>2536</v>
      </c>
      <c r="AG4" s="59">
        <v>1409.18</v>
      </c>
      <c r="AH4" s="59">
        <v>1399.44</v>
      </c>
      <c r="AI4" s="59">
        <v>686.65</v>
      </c>
      <c r="AJ4" s="59">
        <v>844.22</v>
      </c>
      <c r="AK4" s="59">
        <v>321</v>
      </c>
      <c r="AL4" s="59"/>
      <c r="AM4" s="59">
        <v>2780</v>
      </c>
      <c r="AN4" s="59">
        <v>2053</v>
      </c>
      <c r="AO4" s="59">
        <v>1212</v>
      </c>
      <c r="AP4" s="59">
        <v>1125</v>
      </c>
      <c r="AQ4" s="59">
        <v>1155</v>
      </c>
      <c r="AR4" s="41">
        <v>0</v>
      </c>
      <c r="AS4" s="41">
        <v>0</v>
      </c>
      <c r="AT4" s="41">
        <v>0</v>
      </c>
      <c r="AU4" s="41">
        <v>0</v>
      </c>
      <c r="AV4" s="59">
        <v>635</v>
      </c>
      <c r="AW4" s="59">
        <v>1919</v>
      </c>
    </row>
    <row r="6" spans="2:50" x14ac:dyDescent="0.25"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</row>
    <row r="7" spans="2:50" x14ac:dyDescent="0.25">
      <c r="B7" s="59"/>
      <c r="O7" s="39"/>
    </row>
    <row r="8" spans="2:50" x14ac:dyDescent="0.25">
      <c r="B8" s="59"/>
      <c r="O8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B9D5-9BA1-49B2-A687-1295FC78D2B4}">
  <dimension ref="B2:AW3"/>
  <sheetViews>
    <sheetView workbookViewId="0">
      <selection activeCell="J13" sqref="J13"/>
    </sheetView>
  </sheetViews>
  <sheetFormatPr baseColWidth="10" defaultColWidth="9.140625" defaultRowHeight="15" x14ac:dyDescent="0.25"/>
  <cols>
    <col min="1" max="1" width="9.140625" style="59"/>
    <col min="2" max="2" width="12.7109375" style="59" bestFit="1" customWidth="1"/>
    <col min="3" max="16384" width="9.140625" style="59"/>
  </cols>
  <sheetData>
    <row r="2" spans="2:49" x14ac:dyDescent="0.25">
      <c r="C2" s="59" t="s">
        <v>35</v>
      </c>
      <c r="D2" s="59" t="s">
        <v>36</v>
      </c>
      <c r="E2" s="59" t="s">
        <v>37</v>
      </c>
      <c r="F2" s="59" t="s">
        <v>38</v>
      </c>
      <c r="G2" s="59" t="s">
        <v>39</v>
      </c>
      <c r="H2" s="59" t="s">
        <v>40</v>
      </c>
      <c r="I2" s="59" t="s">
        <v>41</v>
      </c>
      <c r="J2" s="59" t="s">
        <v>42</v>
      </c>
      <c r="K2" s="59" t="s">
        <v>43</v>
      </c>
      <c r="L2" s="59" t="s">
        <v>44</v>
      </c>
      <c r="M2" s="59" t="s">
        <v>45</v>
      </c>
      <c r="N2" s="59" t="s">
        <v>46</v>
      </c>
      <c r="O2" s="59" t="s">
        <v>48</v>
      </c>
      <c r="P2" s="59" t="s">
        <v>49</v>
      </c>
      <c r="Q2" s="59" t="s">
        <v>50</v>
      </c>
      <c r="R2" s="59" t="s">
        <v>51</v>
      </c>
      <c r="S2" s="59" t="s">
        <v>52</v>
      </c>
      <c r="T2" s="59" t="s">
        <v>53</v>
      </c>
      <c r="U2" s="59" t="s">
        <v>54</v>
      </c>
      <c r="V2" s="59" t="s">
        <v>55</v>
      </c>
      <c r="W2" s="59" t="s">
        <v>56</v>
      </c>
      <c r="X2" s="59" t="s">
        <v>57</v>
      </c>
      <c r="Y2" s="59" t="s">
        <v>58</v>
      </c>
      <c r="Z2" s="59" t="s">
        <v>59</v>
      </c>
      <c r="AA2" s="59" t="s">
        <v>60</v>
      </c>
      <c r="AB2" s="59" t="s">
        <v>61</v>
      </c>
      <c r="AC2" s="59" t="s">
        <v>62</v>
      </c>
      <c r="AD2" s="59" t="s">
        <v>63</v>
      </c>
      <c r="AE2" s="59" t="s">
        <v>64</v>
      </c>
      <c r="AF2" s="59" t="s">
        <v>65</v>
      </c>
      <c r="AG2" s="59" t="s">
        <v>66</v>
      </c>
      <c r="AH2" s="59" t="s">
        <v>67</v>
      </c>
      <c r="AI2" s="59" t="s">
        <v>68</v>
      </c>
      <c r="AJ2" s="59" t="s">
        <v>69</v>
      </c>
      <c r="AK2" s="59" t="s">
        <v>70</v>
      </c>
      <c r="AL2" s="59" t="s">
        <v>71</v>
      </c>
      <c r="AM2" s="59" t="s">
        <v>72</v>
      </c>
      <c r="AN2" s="59" t="s">
        <v>73</v>
      </c>
      <c r="AO2" s="59" t="s">
        <v>74</v>
      </c>
      <c r="AP2" s="59" t="s">
        <v>75</v>
      </c>
      <c r="AQ2" s="59" t="s">
        <v>76</v>
      </c>
      <c r="AR2" s="59" t="s">
        <v>77</v>
      </c>
      <c r="AS2" s="59" t="s">
        <v>78</v>
      </c>
      <c r="AT2" s="59" t="s">
        <v>79</v>
      </c>
      <c r="AU2" s="59" t="s">
        <v>80</v>
      </c>
      <c r="AV2" s="59" t="s">
        <v>81</v>
      </c>
      <c r="AW2" s="59" t="s">
        <v>82</v>
      </c>
    </row>
    <row r="3" spans="2:49" x14ac:dyDescent="0.25">
      <c r="B3" s="59" t="s">
        <v>17</v>
      </c>
      <c r="D3" s="59">
        <v>3485</v>
      </c>
      <c r="E3" s="59">
        <v>1308</v>
      </c>
      <c r="F3" s="59">
        <v>440</v>
      </c>
      <c r="G3" s="59">
        <v>864</v>
      </c>
      <c r="H3" s="59">
        <v>281</v>
      </c>
      <c r="I3" s="59">
        <v>1172</v>
      </c>
      <c r="N3" s="59">
        <v>5065</v>
      </c>
      <c r="O3" s="59">
        <v>9449</v>
      </c>
      <c r="P3" s="59">
        <v>699</v>
      </c>
      <c r="R3" s="59">
        <v>292</v>
      </c>
      <c r="S3" s="59">
        <v>151.82418216132427</v>
      </c>
      <c r="T3" s="59">
        <v>618.51941959143528</v>
      </c>
      <c r="U3" s="59">
        <v>1284.0489442281191</v>
      </c>
      <c r="V3" s="59">
        <v>4041.1791665602127</v>
      </c>
      <c r="W3" s="59">
        <v>210.9515725039324</v>
      </c>
      <c r="X3" s="59">
        <v>445.22837904782432</v>
      </c>
      <c r="Y3" s="59">
        <v>504.2483359071515</v>
      </c>
      <c r="AB3" s="59">
        <v>900</v>
      </c>
      <c r="AG3" s="59">
        <v>522</v>
      </c>
      <c r="AH3" s="59">
        <v>60.2</v>
      </c>
      <c r="AJ3" s="59">
        <v>482.5</v>
      </c>
      <c r="AK3" s="59">
        <v>1589</v>
      </c>
      <c r="AL3" s="59">
        <v>3707</v>
      </c>
      <c r="AN3" s="59">
        <v>642</v>
      </c>
      <c r="AO3" s="59">
        <v>916</v>
      </c>
      <c r="AP3" s="59">
        <v>180</v>
      </c>
      <c r="AQ3" s="59">
        <v>3418</v>
      </c>
      <c r="AV3" s="59">
        <v>6697</v>
      </c>
      <c r="AW3" s="59">
        <v>4309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2B59-C5AD-4D77-811E-C4E9CB9A4167}">
  <dimension ref="A2:AX11"/>
  <sheetViews>
    <sheetView workbookViewId="0">
      <selection activeCell="AW3" sqref="AW3"/>
    </sheetView>
  </sheetViews>
  <sheetFormatPr baseColWidth="10" defaultColWidth="9.140625" defaultRowHeight="15" x14ac:dyDescent="0.25"/>
  <cols>
    <col min="1" max="1" width="9.140625" style="37"/>
    <col min="2" max="2" width="13.140625" style="37" bestFit="1" customWidth="1"/>
    <col min="3" max="19" width="9.140625" style="37"/>
    <col min="20" max="20" width="10.5703125" style="37" bestFit="1" customWidth="1"/>
    <col min="21" max="22" width="11.5703125" style="37" bestFit="1" customWidth="1"/>
    <col min="23" max="23" width="12.5703125" style="37" bestFit="1" customWidth="1"/>
    <col min="24" max="26" width="11.5703125" style="37" bestFit="1" customWidth="1"/>
    <col min="27" max="44" width="9.140625" style="37"/>
    <col min="45" max="46" width="9.5703125" style="37" bestFit="1" customWidth="1"/>
    <col min="47" max="48" width="10.5703125" style="37" bestFit="1" customWidth="1"/>
    <col min="49" max="16384" width="9.140625" style="37"/>
  </cols>
  <sheetData>
    <row r="2" spans="1:50" x14ac:dyDescent="0.25">
      <c r="C2" s="37" t="s">
        <v>35</v>
      </c>
      <c r="D2" s="37" t="s">
        <v>36</v>
      </c>
      <c r="E2" s="37" t="s">
        <v>37</v>
      </c>
      <c r="F2" s="37" t="s">
        <v>38</v>
      </c>
      <c r="G2" s="37" t="s">
        <v>39</v>
      </c>
      <c r="H2" s="37" t="s">
        <v>40</v>
      </c>
      <c r="I2" s="37" t="s">
        <v>41</v>
      </c>
      <c r="J2" s="37" t="s">
        <v>42</v>
      </c>
      <c r="K2" s="37" t="s">
        <v>43</v>
      </c>
      <c r="L2" s="37" t="s">
        <v>44</v>
      </c>
      <c r="M2" s="37" t="s">
        <v>45</v>
      </c>
      <c r="N2" s="37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7" t="s">
        <v>51</v>
      </c>
      <c r="T2" s="37" t="s">
        <v>52</v>
      </c>
      <c r="U2" s="37" t="s">
        <v>53</v>
      </c>
      <c r="V2" s="37" t="s">
        <v>54</v>
      </c>
      <c r="W2" s="37" t="s">
        <v>55</v>
      </c>
      <c r="X2" s="37" t="s">
        <v>56</v>
      </c>
      <c r="Y2" s="37" t="s">
        <v>57</v>
      </c>
      <c r="Z2" s="37" t="s">
        <v>58</v>
      </c>
      <c r="AA2" s="37" t="s">
        <v>59</v>
      </c>
      <c r="AB2" s="37" t="s">
        <v>60</v>
      </c>
      <c r="AC2" s="37" t="s">
        <v>61</v>
      </c>
      <c r="AD2" s="37" t="s">
        <v>62</v>
      </c>
      <c r="AE2" s="37" t="s">
        <v>63</v>
      </c>
      <c r="AF2" s="37" t="s">
        <v>64</v>
      </c>
      <c r="AG2" s="37" t="s">
        <v>65</v>
      </c>
      <c r="AH2" s="37" t="s">
        <v>66</v>
      </c>
      <c r="AI2" s="37" t="s">
        <v>67</v>
      </c>
      <c r="AJ2" s="37" t="s">
        <v>68</v>
      </c>
      <c r="AK2" s="37" t="s">
        <v>69</v>
      </c>
      <c r="AL2" s="37" t="s">
        <v>70</v>
      </c>
      <c r="AM2" s="37" t="s">
        <v>71</v>
      </c>
      <c r="AN2" s="37" t="s">
        <v>72</v>
      </c>
      <c r="AO2" s="37" t="s">
        <v>73</v>
      </c>
      <c r="AP2" s="37" t="s">
        <v>74</v>
      </c>
      <c r="AQ2" s="37" t="s">
        <v>75</v>
      </c>
      <c r="AR2" s="37" t="s">
        <v>76</v>
      </c>
      <c r="AS2" s="37" t="s">
        <v>77</v>
      </c>
      <c r="AT2" s="37" t="s">
        <v>78</v>
      </c>
      <c r="AU2" s="37" t="s">
        <v>79</v>
      </c>
      <c r="AV2" s="37" t="s">
        <v>80</v>
      </c>
      <c r="AW2" s="37" t="s">
        <v>81</v>
      </c>
      <c r="AX2" s="37" t="s">
        <v>82</v>
      </c>
    </row>
    <row r="3" spans="1:50" x14ac:dyDescent="0.25">
      <c r="A3" s="37">
        <v>2030</v>
      </c>
      <c r="B3" s="37" t="s">
        <v>10</v>
      </c>
      <c r="C3" s="47"/>
      <c r="D3" s="47"/>
      <c r="E3" s="47">
        <v>3929</v>
      </c>
      <c r="F3" s="47"/>
      <c r="G3" s="47">
        <v>2080</v>
      </c>
      <c r="H3" s="47"/>
      <c r="I3" s="47">
        <v>4040</v>
      </c>
      <c r="J3" s="48"/>
      <c r="K3" s="48"/>
      <c r="L3" s="48"/>
      <c r="M3" s="48">
        <v>4364</v>
      </c>
      <c r="N3" s="48">
        <v>61370</v>
      </c>
      <c r="O3" s="48"/>
      <c r="P3" s="48"/>
      <c r="Q3" s="48"/>
      <c r="R3" s="48">
        <v>1916</v>
      </c>
      <c r="S3" s="48"/>
      <c r="T3" s="41"/>
      <c r="U3" s="41"/>
      <c r="V3" s="41"/>
      <c r="W3" s="41"/>
      <c r="X3" s="41"/>
      <c r="Y3" s="41"/>
      <c r="Z3" s="41"/>
      <c r="AA3" s="52"/>
      <c r="AB3" s="52"/>
      <c r="AC3" s="52"/>
      <c r="AD3" s="52"/>
      <c r="AE3" s="52">
        <v>486</v>
      </c>
      <c r="AF3" s="52"/>
      <c r="AG3" s="53"/>
      <c r="AH3" s="53"/>
      <c r="AI3" s="53"/>
      <c r="AJ3" s="53"/>
      <c r="AK3" s="53"/>
      <c r="AL3" s="53"/>
      <c r="AM3" s="53"/>
      <c r="AN3" s="53">
        <v>1300</v>
      </c>
      <c r="AO3" s="53"/>
      <c r="AP3" s="53">
        <v>2003</v>
      </c>
      <c r="AQ3" s="53">
        <v>696</v>
      </c>
      <c r="AR3" s="53">
        <v>7117</v>
      </c>
      <c r="AS3" s="49">
        <v>0</v>
      </c>
      <c r="AT3" s="49">
        <v>0</v>
      </c>
      <c r="AU3" s="49">
        <v>7000</v>
      </c>
      <c r="AV3" s="49">
        <v>0</v>
      </c>
      <c r="AW3" s="54">
        <v>2970</v>
      </c>
      <c r="AX3" s="54">
        <v>8256</v>
      </c>
    </row>
    <row r="4" spans="1:50" x14ac:dyDescent="0.25">
      <c r="A4" s="37">
        <v>2030</v>
      </c>
      <c r="B4" s="37" t="s">
        <v>3</v>
      </c>
      <c r="C4" s="47"/>
      <c r="D4" s="47"/>
      <c r="E4" s="47"/>
      <c r="F4" s="47"/>
      <c r="G4" s="47">
        <v>356</v>
      </c>
      <c r="H4" s="47">
        <v>217</v>
      </c>
      <c r="I4" s="47">
        <v>1200</v>
      </c>
      <c r="J4" s="48">
        <v>1943</v>
      </c>
      <c r="K4" s="48">
        <v>1079</v>
      </c>
      <c r="L4" s="48"/>
      <c r="M4" s="48">
        <v>1410</v>
      </c>
      <c r="N4" s="48">
        <v>1812</v>
      </c>
      <c r="O4" s="48"/>
      <c r="P4" s="48">
        <v>18411</v>
      </c>
      <c r="Q4" s="48"/>
      <c r="R4" s="48">
        <v>42</v>
      </c>
      <c r="S4" s="48">
        <v>855</v>
      </c>
      <c r="T4" s="41">
        <v>116.81841358967384</v>
      </c>
      <c r="U4" s="41">
        <v>475.90875407648616</v>
      </c>
      <c r="V4" s="41">
        <v>987.98859642028515</v>
      </c>
      <c r="W4" s="41">
        <v>3109.4133526606488</v>
      </c>
      <c r="X4" s="41">
        <v>162.31293126921921</v>
      </c>
      <c r="Y4" s="41">
        <v>342.57304854244808</v>
      </c>
      <c r="Z4" s="41">
        <v>387.98490344123854</v>
      </c>
      <c r="AA4" s="52"/>
      <c r="AB4" s="52"/>
      <c r="AC4" s="52"/>
      <c r="AD4" s="52"/>
      <c r="AE4" s="52">
        <v>4006</v>
      </c>
      <c r="AF4" s="52"/>
      <c r="AG4" s="53"/>
      <c r="AH4" s="53"/>
      <c r="AI4" s="53"/>
      <c r="AJ4" s="53"/>
      <c r="AK4" s="53"/>
      <c r="AL4" s="53">
        <v>18831</v>
      </c>
      <c r="AM4" s="53"/>
      <c r="AN4" s="53">
        <v>176</v>
      </c>
      <c r="AO4" s="53"/>
      <c r="AP4" s="53">
        <v>1</v>
      </c>
      <c r="AQ4" s="53"/>
      <c r="AR4" s="53">
        <v>3223</v>
      </c>
      <c r="AS4" s="41"/>
      <c r="AT4" s="41"/>
      <c r="AU4" s="41"/>
      <c r="AV4" s="41"/>
      <c r="AW4" s="54"/>
      <c r="AX4" s="54">
        <v>0</v>
      </c>
    </row>
    <row r="5" spans="1:50" x14ac:dyDescent="0.25">
      <c r="A5" s="37">
        <v>2030</v>
      </c>
      <c r="B5" s="37" t="s">
        <v>27</v>
      </c>
      <c r="C5" s="47">
        <v>97</v>
      </c>
      <c r="D5" s="47">
        <v>125</v>
      </c>
      <c r="E5" s="47">
        <v>452</v>
      </c>
      <c r="F5" s="47"/>
      <c r="G5" s="47"/>
      <c r="H5" s="47">
        <v>45</v>
      </c>
      <c r="I5" s="47"/>
      <c r="J5" s="48">
        <v>195</v>
      </c>
      <c r="K5" s="48">
        <v>764</v>
      </c>
      <c r="L5" s="48"/>
      <c r="M5" s="48">
        <v>1051</v>
      </c>
      <c r="N5" s="48">
        <v>3042</v>
      </c>
      <c r="O5" s="48"/>
      <c r="P5" s="48">
        <v>4118</v>
      </c>
      <c r="Q5" s="48"/>
      <c r="R5" s="48">
        <v>425</v>
      </c>
      <c r="S5" s="48">
        <v>1272</v>
      </c>
      <c r="T5" s="41">
        <v>32.725058007209363</v>
      </c>
      <c r="U5" s="41">
        <v>133.31923542461479</v>
      </c>
      <c r="V5" s="41">
        <v>276.77129944498046</v>
      </c>
      <c r="W5" s="41">
        <v>871.059015504434</v>
      </c>
      <c r="X5" s="41">
        <v>45.469716013802405</v>
      </c>
      <c r="Y5" s="41">
        <v>95.967087214828723</v>
      </c>
      <c r="Z5" s="41">
        <v>108.68858839013023</v>
      </c>
      <c r="AA5" s="52"/>
      <c r="AB5" s="52"/>
      <c r="AC5" s="52"/>
      <c r="AD5" s="52"/>
      <c r="AE5" s="52"/>
      <c r="AF5" s="52">
        <v>165</v>
      </c>
      <c r="AG5" s="53"/>
      <c r="AH5" s="53"/>
      <c r="AI5" s="53"/>
      <c r="AJ5" s="53"/>
      <c r="AK5" s="53"/>
      <c r="AL5" s="53">
        <v>393</v>
      </c>
      <c r="AM5" s="53"/>
      <c r="AN5" s="53"/>
      <c r="AO5" s="53"/>
      <c r="AP5" s="53">
        <v>259</v>
      </c>
      <c r="AQ5" s="53">
        <v>58</v>
      </c>
      <c r="AR5" s="53">
        <v>704</v>
      </c>
      <c r="AS5" s="49"/>
      <c r="AT5" s="49"/>
      <c r="AU5" s="49"/>
      <c r="AV5" s="49"/>
      <c r="AW5" s="54"/>
      <c r="AX5" s="54">
        <v>316</v>
      </c>
    </row>
    <row r="6" spans="1:50" x14ac:dyDescent="0.25">
      <c r="A6" s="37">
        <v>2030</v>
      </c>
      <c r="B6" s="37" t="s">
        <v>2</v>
      </c>
      <c r="C6" s="47"/>
      <c r="D6" s="47"/>
      <c r="E6" s="47"/>
      <c r="F6" s="47">
        <v>1883</v>
      </c>
      <c r="G6" s="47">
        <v>4119</v>
      </c>
      <c r="H6" s="47"/>
      <c r="I6" s="47">
        <v>7200</v>
      </c>
      <c r="J6" s="48"/>
      <c r="K6" s="48"/>
      <c r="L6" s="48"/>
      <c r="M6" s="48"/>
      <c r="N6" s="48"/>
      <c r="O6" s="48"/>
      <c r="P6" s="48">
        <v>18363</v>
      </c>
      <c r="Q6" s="48">
        <v>2650</v>
      </c>
      <c r="R6" s="48">
        <v>787</v>
      </c>
      <c r="S6" s="48"/>
      <c r="AA6" s="52">
        <v>1288</v>
      </c>
      <c r="AB6" s="52"/>
      <c r="AC6" s="52"/>
      <c r="AD6" s="52">
        <v>210</v>
      </c>
      <c r="AE6" s="52"/>
      <c r="AF6" s="52">
        <v>824</v>
      </c>
      <c r="AG6" s="53"/>
      <c r="AH6" s="53"/>
      <c r="AI6" s="53"/>
      <c r="AJ6" s="53"/>
      <c r="AK6" s="53"/>
      <c r="AL6" s="53">
        <v>7557</v>
      </c>
      <c r="AM6" s="53"/>
      <c r="AN6" s="53">
        <v>1733</v>
      </c>
      <c r="AO6" s="53">
        <v>6011</v>
      </c>
      <c r="AP6" s="53">
        <v>276</v>
      </c>
      <c r="AQ6" s="53">
        <v>1191</v>
      </c>
      <c r="AR6" s="53"/>
      <c r="AS6" s="49"/>
      <c r="AT6" s="49"/>
      <c r="AU6" s="49"/>
      <c r="AV6" s="49"/>
      <c r="AW6" s="54"/>
      <c r="AX6" s="54">
        <v>0</v>
      </c>
    </row>
    <row r="7" spans="1:50" x14ac:dyDescent="0.25">
      <c r="A7" s="37">
        <v>2030</v>
      </c>
      <c r="B7" s="37" t="s">
        <v>12</v>
      </c>
    </row>
    <row r="8" spans="1:50" x14ac:dyDescent="0.25">
      <c r="A8" s="37">
        <v>2030</v>
      </c>
      <c r="B8" s="37" t="s">
        <v>11</v>
      </c>
    </row>
    <row r="9" spans="1:50" x14ac:dyDescent="0.25">
      <c r="A9" s="37">
        <v>2030</v>
      </c>
      <c r="B9" s="37" t="s">
        <v>85</v>
      </c>
      <c r="C9" s="55"/>
      <c r="D9" s="55">
        <v>4225</v>
      </c>
      <c r="E9" s="55">
        <v>6995</v>
      </c>
      <c r="F9" s="55"/>
      <c r="G9" s="55">
        <v>723</v>
      </c>
      <c r="H9" s="55">
        <v>886</v>
      </c>
      <c r="I9" s="55">
        <v>1240</v>
      </c>
      <c r="J9" s="55">
        <v>991</v>
      </c>
      <c r="K9" s="55">
        <v>577</v>
      </c>
      <c r="L9" s="55">
        <v>15</v>
      </c>
      <c r="M9" s="55">
        <v>1742</v>
      </c>
      <c r="N9" s="55">
        <v>13133</v>
      </c>
      <c r="O9" s="55">
        <v>1190</v>
      </c>
      <c r="P9" s="55">
        <v>36327</v>
      </c>
      <c r="Q9" s="55">
        <v>6030</v>
      </c>
      <c r="R9" s="55">
        <v>3161</v>
      </c>
      <c r="S9" s="55">
        <v>4265</v>
      </c>
      <c r="T9" s="55">
        <v>944.86281613270671</v>
      </c>
      <c r="U9" s="55">
        <v>3849.2945742131265</v>
      </c>
      <c r="V9" s="55">
        <v>7991.1518983612423</v>
      </c>
      <c r="W9" s="55">
        <v>25149.879771824631</v>
      </c>
      <c r="X9" s="55">
        <v>1312.836295418974</v>
      </c>
      <c r="Y9" s="55">
        <v>2770.8348832225197</v>
      </c>
      <c r="Z9" s="55">
        <v>3138.1397608267971</v>
      </c>
      <c r="AA9" s="55"/>
      <c r="AB9" s="55">
        <v>1112</v>
      </c>
      <c r="AC9" s="55">
        <v>1503</v>
      </c>
      <c r="AD9" s="55"/>
      <c r="AE9" s="55">
        <v>18351</v>
      </c>
      <c r="AF9" s="55"/>
      <c r="AG9" s="55">
        <v>5.6</v>
      </c>
      <c r="AH9" s="55">
        <v>22.7</v>
      </c>
      <c r="AI9" s="55"/>
      <c r="AJ9" s="55">
        <v>252.44</v>
      </c>
      <c r="AK9" s="55">
        <v>192.2</v>
      </c>
      <c r="AL9" s="55">
        <v>5162</v>
      </c>
      <c r="AM9" s="55">
        <v>4433</v>
      </c>
      <c r="AN9" s="55">
        <v>2238</v>
      </c>
      <c r="AO9" s="55">
        <v>607</v>
      </c>
      <c r="AP9" s="55">
        <v>1183</v>
      </c>
      <c r="AQ9" s="55">
        <v>756</v>
      </c>
      <c r="AR9" s="55">
        <v>29873</v>
      </c>
      <c r="AS9" s="55">
        <v>0</v>
      </c>
      <c r="AT9" s="55">
        <v>0</v>
      </c>
      <c r="AU9" s="55">
        <v>0</v>
      </c>
      <c r="AV9" s="55">
        <v>0</v>
      </c>
      <c r="AW9" s="55"/>
      <c r="AX9" s="55">
        <v>41371</v>
      </c>
    </row>
    <row r="11" spans="1:50" x14ac:dyDescent="0.25">
      <c r="C11" s="37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85DB-135B-40DB-A618-A71D40418CE8}">
  <dimension ref="A2:AX11"/>
  <sheetViews>
    <sheetView workbookViewId="0">
      <selection activeCell="J20" sqref="J20"/>
    </sheetView>
  </sheetViews>
  <sheetFormatPr baseColWidth="10" defaultColWidth="9.140625" defaultRowHeight="15" x14ac:dyDescent="0.25"/>
  <cols>
    <col min="2" max="2" width="13.140625" bestFit="1" customWidth="1"/>
    <col min="45" max="46" width="10.5703125" bestFit="1" customWidth="1"/>
    <col min="47" max="47" width="11.5703125" bestFit="1" customWidth="1"/>
    <col min="48" max="48" width="10.5703125" bestFit="1" customWidth="1"/>
  </cols>
  <sheetData>
    <row r="2" spans="1:50" x14ac:dyDescent="0.25">
      <c r="C2" s="37" t="s">
        <v>35</v>
      </c>
      <c r="D2" s="37" t="s">
        <v>36</v>
      </c>
      <c r="E2" s="37" t="s">
        <v>37</v>
      </c>
      <c r="F2" s="37" t="s">
        <v>38</v>
      </c>
      <c r="G2" s="37" t="s">
        <v>39</v>
      </c>
      <c r="H2" s="37" t="s">
        <v>40</v>
      </c>
      <c r="I2" s="37" t="s">
        <v>41</v>
      </c>
      <c r="J2" s="37" t="s">
        <v>42</v>
      </c>
      <c r="K2" s="37" t="s">
        <v>43</v>
      </c>
      <c r="L2" s="37" t="s">
        <v>44</v>
      </c>
      <c r="M2" s="37" t="s">
        <v>45</v>
      </c>
      <c r="N2" s="37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7" t="s">
        <v>51</v>
      </c>
      <c r="T2" s="37" t="s">
        <v>52</v>
      </c>
      <c r="U2" s="37" t="s">
        <v>53</v>
      </c>
      <c r="V2" s="37" t="s">
        <v>54</v>
      </c>
      <c r="W2" s="37" t="s">
        <v>55</v>
      </c>
      <c r="X2" s="37" t="s">
        <v>56</v>
      </c>
      <c r="Y2" s="37" t="s">
        <v>57</v>
      </c>
      <c r="Z2" s="37" t="s">
        <v>58</v>
      </c>
      <c r="AA2" s="37" t="s">
        <v>59</v>
      </c>
      <c r="AB2" s="37" t="s">
        <v>60</v>
      </c>
      <c r="AC2" s="37" t="s">
        <v>61</v>
      </c>
      <c r="AD2" s="37" t="s">
        <v>62</v>
      </c>
      <c r="AE2" s="37" t="s">
        <v>63</v>
      </c>
      <c r="AF2" s="37" t="s">
        <v>64</v>
      </c>
      <c r="AG2" s="37" t="s">
        <v>65</v>
      </c>
      <c r="AH2" s="37" t="s">
        <v>66</v>
      </c>
      <c r="AI2" s="37" t="s">
        <v>67</v>
      </c>
      <c r="AJ2" s="37" t="s">
        <v>68</v>
      </c>
      <c r="AK2" s="37" t="s">
        <v>69</v>
      </c>
      <c r="AL2" s="37" t="s">
        <v>70</v>
      </c>
      <c r="AM2" s="37" t="s">
        <v>71</v>
      </c>
      <c r="AN2" s="37" t="s">
        <v>72</v>
      </c>
      <c r="AO2" s="37" t="s">
        <v>73</v>
      </c>
      <c r="AP2" s="37" t="s">
        <v>74</v>
      </c>
      <c r="AQ2" s="37" t="s">
        <v>75</v>
      </c>
      <c r="AR2" s="37" t="s">
        <v>76</v>
      </c>
      <c r="AS2" s="37" t="s">
        <v>77</v>
      </c>
      <c r="AT2" s="37" t="s">
        <v>78</v>
      </c>
      <c r="AU2" s="37" t="s">
        <v>79</v>
      </c>
      <c r="AV2" s="37" t="s">
        <v>80</v>
      </c>
      <c r="AW2" s="37" t="s">
        <v>81</v>
      </c>
      <c r="AX2" s="37" t="s">
        <v>82</v>
      </c>
    </row>
    <row r="3" spans="1:50" x14ac:dyDescent="0.25">
      <c r="A3">
        <v>2030</v>
      </c>
      <c r="B3" t="s">
        <v>5</v>
      </c>
      <c r="C3" s="42">
        <v>195</v>
      </c>
      <c r="D3" s="42">
        <v>7294</v>
      </c>
      <c r="E3" s="42">
        <v>9789</v>
      </c>
      <c r="F3" s="42">
        <v>30</v>
      </c>
      <c r="G3" s="42">
        <v>4568</v>
      </c>
      <c r="H3" s="42">
        <v>292</v>
      </c>
      <c r="I3" s="42">
        <v>3548</v>
      </c>
      <c r="J3" s="39">
        <v>2738</v>
      </c>
      <c r="K3" s="39">
        <v>992</v>
      </c>
      <c r="L3" s="39">
        <v>812</v>
      </c>
      <c r="M3" s="39">
        <v>27</v>
      </c>
      <c r="N3" s="39">
        <v>17419</v>
      </c>
      <c r="O3" s="39"/>
      <c r="P3" s="39">
        <v>76601</v>
      </c>
      <c r="Q3" s="39">
        <v>6700</v>
      </c>
      <c r="R3" s="39">
        <v>3888</v>
      </c>
      <c r="S3" s="39"/>
      <c r="T3" s="41">
        <v>124.0162524352493</v>
      </c>
      <c r="U3" s="41">
        <v>505.23216647166998</v>
      </c>
      <c r="V3" s="41">
        <v>1048.864125198465</v>
      </c>
      <c r="W3" s="41">
        <v>3301.0017806232609</v>
      </c>
      <c r="X3" s="41">
        <v>172.31394297557983</v>
      </c>
      <c r="Y3" s="41">
        <v>363.68089892729529</v>
      </c>
      <c r="Z3" s="41">
        <v>411.89083336847943</v>
      </c>
      <c r="AA3" s="43"/>
      <c r="AB3" s="43">
        <v>303</v>
      </c>
      <c r="AC3" s="43">
        <v>1165</v>
      </c>
      <c r="AD3" s="43"/>
      <c r="AE3" s="43">
        <v>24261</v>
      </c>
      <c r="AF3" s="43"/>
      <c r="AG3" s="44">
        <v>9.07</v>
      </c>
      <c r="AH3" s="44"/>
      <c r="AI3" s="44"/>
      <c r="AJ3" s="44"/>
      <c r="AK3" s="44"/>
      <c r="AL3" s="44">
        <v>14609</v>
      </c>
      <c r="AM3" s="44">
        <v>1811</v>
      </c>
      <c r="AN3" s="44">
        <v>1293</v>
      </c>
      <c r="AO3" s="44">
        <v>29</v>
      </c>
      <c r="AP3" s="44">
        <v>532</v>
      </c>
      <c r="AQ3" s="44">
        <v>1110</v>
      </c>
      <c r="AR3" s="44">
        <v>23867</v>
      </c>
      <c r="AS3" s="41">
        <v>262.65620563993417</v>
      </c>
      <c r="AT3" s="41">
        <v>367.41741945124039</v>
      </c>
      <c r="AU3" s="41">
        <v>2034.8113083725473</v>
      </c>
      <c r="AV3" s="41">
        <v>535.11506653627828</v>
      </c>
      <c r="AW3" s="46"/>
      <c r="AX3" s="46">
        <v>13740</v>
      </c>
    </row>
    <row r="4" spans="1:50" x14ac:dyDescent="0.25">
      <c r="A4" s="37">
        <v>2030</v>
      </c>
      <c r="B4" t="s">
        <v>32</v>
      </c>
      <c r="C4" s="42"/>
      <c r="D4" s="42"/>
      <c r="E4" s="42">
        <v>3053</v>
      </c>
      <c r="F4" s="42">
        <v>135</v>
      </c>
      <c r="G4" s="42">
        <v>711</v>
      </c>
      <c r="H4" s="42">
        <v>1209</v>
      </c>
      <c r="I4" s="42">
        <v>342</v>
      </c>
      <c r="J4" s="39">
        <v>1601</v>
      </c>
      <c r="K4" s="39">
        <v>1045</v>
      </c>
      <c r="L4" s="39">
        <v>447</v>
      </c>
      <c r="M4" s="39">
        <v>6618</v>
      </c>
      <c r="N4" s="39">
        <v>22134</v>
      </c>
      <c r="O4" s="39">
        <v>29</v>
      </c>
      <c r="P4" s="39">
        <v>59841</v>
      </c>
      <c r="Q4" s="39">
        <v>5065</v>
      </c>
      <c r="R4" s="39">
        <v>325</v>
      </c>
      <c r="S4" s="39">
        <v>1919</v>
      </c>
      <c r="T4" s="41">
        <v>243.78494299360378</v>
      </c>
      <c r="U4" s="41">
        <v>993.16010993106579</v>
      </c>
      <c r="V4" s="41">
        <v>2061.8046098679461</v>
      </c>
      <c r="W4" s="41">
        <v>6488.9441110243988</v>
      </c>
      <c r="X4" s="41">
        <v>338.72612613606896</v>
      </c>
      <c r="Y4" s="41">
        <v>714.90571172632315</v>
      </c>
      <c r="Z4" s="41">
        <v>809.67438832059293</v>
      </c>
      <c r="AA4" s="43">
        <v>32</v>
      </c>
      <c r="AB4" s="43">
        <v>136</v>
      </c>
      <c r="AC4" s="43">
        <v>1288</v>
      </c>
      <c r="AD4" s="43">
        <v>118</v>
      </c>
      <c r="AE4" s="43">
        <v>6812</v>
      </c>
      <c r="AF4" s="43">
        <v>37</v>
      </c>
      <c r="AG4" s="44">
        <v>405.7</v>
      </c>
      <c r="AH4" s="44">
        <v>1447.35</v>
      </c>
      <c r="AI4" s="44">
        <v>2120</v>
      </c>
      <c r="AJ4" s="44">
        <v>1159.95</v>
      </c>
      <c r="AK4" s="44"/>
      <c r="AL4" s="44">
        <v>9583</v>
      </c>
      <c r="AM4" s="44">
        <v>5333</v>
      </c>
      <c r="AN4" s="44">
        <v>2958</v>
      </c>
      <c r="AO4" s="44">
        <v>646</v>
      </c>
      <c r="AP4" s="44">
        <v>3</v>
      </c>
      <c r="AQ4" s="44">
        <v>3</v>
      </c>
      <c r="AR4" s="44">
        <v>30159</v>
      </c>
      <c r="AS4" s="41">
        <v>1370.7370731834067</v>
      </c>
      <c r="AT4" s="41">
        <v>1917.4596577611608</v>
      </c>
      <c r="AU4" s="41">
        <v>10619.171515569231</v>
      </c>
      <c r="AV4" s="41">
        <v>2792.6317534862019</v>
      </c>
      <c r="AW4" s="46"/>
      <c r="AX4" s="46">
        <v>13932</v>
      </c>
    </row>
    <row r="5" spans="1:50" x14ac:dyDescent="0.25">
      <c r="A5" s="37">
        <v>2030</v>
      </c>
      <c r="B5" t="s">
        <v>13</v>
      </c>
      <c r="C5" s="42"/>
      <c r="D5" s="42"/>
      <c r="E5" s="42">
        <v>2262</v>
      </c>
      <c r="F5" s="42"/>
      <c r="G5" s="42"/>
      <c r="H5" s="42"/>
      <c r="I5" s="42"/>
      <c r="J5" s="39">
        <v>4112</v>
      </c>
      <c r="K5" s="39">
        <v>748</v>
      </c>
      <c r="L5" s="39"/>
      <c r="M5" s="39"/>
      <c r="N5" s="39">
        <v>1483</v>
      </c>
      <c r="O5" s="39"/>
      <c r="P5" s="39">
        <v>8456</v>
      </c>
      <c r="Q5" s="39"/>
      <c r="R5" s="39"/>
      <c r="S5" s="39"/>
      <c r="T5" s="41">
        <v>0.62771850397460416</v>
      </c>
      <c r="U5" s="41">
        <v>2.5572743367892863</v>
      </c>
      <c r="V5" s="41">
        <v>5.308912393445917</v>
      </c>
      <c r="W5" s="41">
        <v>16.70829313627431</v>
      </c>
      <c r="X5" s="41">
        <v>0.87218125346168296</v>
      </c>
      <c r="Y5" s="41">
        <v>1.8408009056552823</v>
      </c>
      <c r="Z5" s="41">
        <v>2.0848194703989176</v>
      </c>
      <c r="AA5" s="43"/>
      <c r="AB5" s="43"/>
      <c r="AC5" s="43"/>
      <c r="AD5" s="43"/>
      <c r="AE5" s="43">
        <v>3978</v>
      </c>
      <c r="AF5" s="43"/>
      <c r="AG5" s="44"/>
      <c r="AH5" s="44"/>
      <c r="AI5" s="44"/>
      <c r="AJ5" s="44"/>
      <c r="AK5" s="44"/>
      <c r="AL5" s="44"/>
      <c r="AM5" s="44">
        <v>25</v>
      </c>
      <c r="AN5" s="44"/>
      <c r="AO5" s="44"/>
      <c r="AP5" s="44"/>
      <c r="AQ5" s="44"/>
      <c r="AR5" s="44"/>
      <c r="AS5" s="41">
        <v>0</v>
      </c>
      <c r="AT5" s="41">
        <v>0</v>
      </c>
      <c r="AU5" s="41">
        <v>0</v>
      </c>
      <c r="AV5" s="41">
        <v>0</v>
      </c>
      <c r="AW5" s="46"/>
      <c r="AX5" s="46">
        <v>12160</v>
      </c>
    </row>
    <row r="6" spans="1:50" x14ac:dyDescent="0.25">
      <c r="A6" s="37">
        <v>2030</v>
      </c>
      <c r="B6" t="s">
        <v>8</v>
      </c>
      <c r="C6" s="42"/>
      <c r="D6" s="42">
        <v>549</v>
      </c>
      <c r="E6" s="42">
        <v>731</v>
      </c>
      <c r="F6" s="42"/>
      <c r="G6" s="42">
        <v>74</v>
      </c>
      <c r="H6" s="42">
        <v>114</v>
      </c>
      <c r="I6" s="42">
        <v>410</v>
      </c>
      <c r="J6" s="39">
        <v>691</v>
      </c>
      <c r="K6" s="39">
        <v>1063</v>
      </c>
      <c r="L6" s="39">
        <v>150</v>
      </c>
      <c r="M6" s="39">
        <v>1695</v>
      </c>
      <c r="N6" s="39">
        <v>1403</v>
      </c>
      <c r="O6" s="39"/>
      <c r="P6" s="39">
        <v>8577</v>
      </c>
      <c r="Q6" s="39">
        <v>120</v>
      </c>
      <c r="R6" s="39">
        <v>214</v>
      </c>
      <c r="S6" s="39"/>
      <c r="T6" s="41">
        <v>32.285655054427146</v>
      </c>
      <c r="U6" s="41">
        <v>131.52914338886228</v>
      </c>
      <c r="V6" s="41">
        <v>273.05506076956834</v>
      </c>
      <c r="W6" s="41">
        <v>859.36321030904196</v>
      </c>
      <c r="X6" s="41">
        <v>44.859189136379229</v>
      </c>
      <c r="Y6" s="41">
        <v>94.678526580870027</v>
      </c>
      <c r="Z6" s="41">
        <v>107.22921476085099</v>
      </c>
      <c r="AA6" s="43"/>
      <c r="AB6" s="43">
        <v>166</v>
      </c>
      <c r="AC6" s="43">
        <v>196</v>
      </c>
      <c r="AD6" s="43"/>
      <c r="AE6" s="43">
        <v>415</v>
      </c>
      <c r="AF6" s="43">
        <v>7</v>
      </c>
      <c r="AG6" s="45">
        <v>1.88</v>
      </c>
      <c r="AH6" s="44"/>
      <c r="AI6" s="44">
        <v>12.5</v>
      </c>
      <c r="AJ6" s="44"/>
      <c r="AK6" s="44"/>
      <c r="AL6" s="44">
        <v>662</v>
      </c>
      <c r="AM6" s="44">
        <v>681</v>
      </c>
      <c r="AN6" s="44">
        <v>118</v>
      </c>
      <c r="AO6" s="44">
        <v>2</v>
      </c>
      <c r="AP6" s="44">
        <v>234</v>
      </c>
      <c r="AQ6" s="44">
        <v>43</v>
      </c>
      <c r="AR6" s="44">
        <v>708</v>
      </c>
      <c r="AS6" s="41">
        <v>0</v>
      </c>
      <c r="AT6" s="41">
        <v>0</v>
      </c>
      <c r="AU6" s="41">
        <v>0</v>
      </c>
      <c r="AV6" s="41">
        <v>0</v>
      </c>
      <c r="AW6" s="46"/>
      <c r="AX6" s="46">
        <v>4528</v>
      </c>
    </row>
    <row r="7" spans="1:50" x14ac:dyDescent="0.25">
      <c r="A7" s="37">
        <v>2030</v>
      </c>
      <c r="B7" t="s">
        <v>15</v>
      </c>
      <c r="C7" s="42">
        <v>1676</v>
      </c>
      <c r="D7" s="42"/>
      <c r="E7" s="42"/>
      <c r="F7" s="42">
        <v>1456</v>
      </c>
      <c r="G7" s="42">
        <v>1807</v>
      </c>
      <c r="H7" s="42">
        <v>1446</v>
      </c>
      <c r="I7" s="42">
        <v>766</v>
      </c>
      <c r="J7" s="39"/>
      <c r="K7" s="39"/>
      <c r="L7" s="39"/>
      <c r="M7" s="39"/>
      <c r="N7" s="39">
        <v>8787</v>
      </c>
      <c r="O7" s="39">
        <v>2387</v>
      </c>
      <c r="P7" s="39">
        <v>1381</v>
      </c>
      <c r="Q7" s="39">
        <v>2403</v>
      </c>
      <c r="R7" s="39">
        <v>28</v>
      </c>
      <c r="S7" s="39"/>
      <c r="T7" s="41">
        <v>95.03658150175508</v>
      </c>
      <c r="U7" s="41">
        <v>387.17133458989792</v>
      </c>
      <c r="V7" s="41">
        <v>803.76933636771184</v>
      </c>
      <c r="W7" s="41">
        <v>2529.6355808319304</v>
      </c>
      <c r="X7" s="41">
        <v>132.04824177409881</v>
      </c>
      <c r="Y7" s="41">
        <v>278.69725711620976</v>
      </c>
      <c r="Z7" s="41">
        <v>315.64166781839612</v>
      </c>
      <c r="AA7" s="43">
        <v>35</v>
      </c>
      <c r="AB7" s="43"/>
      <c r="AC7" s="43"/>
      <c r="AD7" s="43">
        <v>342</v>
      </c>
      <c r="AE7" s="43"/>
      <c r="AF7" s="43">
        <v>644</v>
      </c>
      <c r="AG7" s="44">
        <v>1419.81</v>
      </c>
      <c r="AH7" s="44">
        <v>9816.2999999999993</v>
      </c>
      <c r="AI7" s="44">
        <v>3415.56</v>
      </c>
      <c r="AJ7" s="44">
        <v>4906.57</v>
      </c>
      <c r="AK7" s="44">
        <v>7101.92</v>
      </c>
      <c r="AL7" s="44">
        <v>468</v>
      </c>
      <c r="AM7" s="44">
        <v>1629</v>
      </c>
      <c r="AN7" s="44">
        <v>3359</v>
      </c>
      <c r="AO7" s="44">
        <v>484</v>
      </c>
      <c r="AP7" s="44">
        <v>418</v>
      </c>
      <c r="AQ7" s="44"/>
      <c r="AR7" s="44">
        <v>15771</v>
      </c>
      <c r="AS7" s="41">
        <v>1337.9050474784149</v>
      </c>
      <c r="AT7" s="41">
        <v>1871.5324803297556</v>
      </c>
      <c r="AU7" s="41">
        <v>10364.820102022662</v>
      </c>
      <c r="AV7" s="41">
        <v>2725.7423701691673</v>
      </c>
      <c r="AW7" s="46">
        <v>5772</v>
      </c>
      <c r="AX7" s="46"/>
    </row>
    <row r="8" spans="1:50" x14ac:dyDescent="0.25">
      <c r="A8" s="37">
        <v>2030</v>
      </c>
      <c r="B8" t="s">
        <v>14</v>
      </c>
      <c r="C8" s="42"/>
      <c r="D8" s="42">
        <v>5817</v>
      </c>
      <c r="E8" s="42">
        <v>186</v>
      </c>
      <c r="F8" s="42">
        <v>252</v>
      </c>
      <c r="G8" s="42">
        <v>540</v>
      </c>
      <c r="H8" s="42">
        <v>428</v>
      </c>
      <c r="I8" s="42">
        <v>340</v>
      </c>
      <c r="J8" s="39"/>
      <c r="K8" s="39"/>
      <c r="L8" s="39">
        <v>8</v>
      </c>
      <c r="M8" s="39">
        <v>3173</v>
      </c>
      <c r="N8" s="39">
        <v>11598</v>
      </c>
      <c r="O8" s="39">
        <v>1023</v>
      </c>
      <c r="P8" s="39">
        <v>3731</v>
      </c>
      <c r="Q8" s="39">
        <v>327</v>
      </c>
      <c r="R8" s="39">
        <v>33</v>
      </c>
      <c r="S8" s="39">
        <v>216</v>
      </c>
      <c r="T8" s="41">
        <v>215.32837081342171</v>
      </c>
      <c r="U8" s="41">
        <v>877.23033999661811</v>
      </c>
      <c r="V8" s="41">
        <v>1821.1339146983978</v>
      </c>
      <c r="W8" s="41">
        <v>5731.5014888466303</v>
      </c>
      <c r="X8" s="41">
        <v>299.18724264580601</v>
      </c>
      <c r="Y8" s="41">
        <v>631.45607066995035</v>
      </c>
      <c r="Z8" s="41">
        <v>715.1625723291753</v>
      </c>
      <c r="AA8" s="43">
        <v>33</v>
      </c>
      <c r="AB8" s="43">
        <v>1588</v>
      </c>
      <c r="AC8" s="43">
        <v>129</v>
      </c>
      <c r="AD8" s="43">
        <v>307</v>
      </c>
      <c r="AE8" s="43">
        <v>38</v>
      </c>
      <c r="AF8" s="43"/>
      <c r="AG8" s="44">
        <v>2536</v>
      </c>
      <c r="AH8" s="44">
        <v>1409.18</v>
      </c>
      <c r="AI8" s="44">
        <v>1399.44</v>
      </c>
      <c r="AJ8" s="44">
        <v>686.65</v>
      </c>
      <c r="AK8" s="44">
        <v>844.22</v>
      </c>
      <c r="AL8" s="44">
        <v>321</v>
      </c>
      <c r="AM8" s="44"/>
      <c r="AN8" s="44">
        <v>2780</v>
      </c>
      <c r="AO8" s="44">
        <v>2053</v>
      </c>
      <c r="AP8" s="44">
        <v>1212</v>
      </c>
      <c r="AQ8" s="44">
        <v>1125</v>
      </c>
      <c r="AR8" s="44">
        <v>1155</v>
      </c>
      <c r="AS8" s="41">
        <v>0</v>
      </c>
      <c r="AT8" s="41">
        <v>0</v>
      </c>
      <c r="AU8" s="41">
        <v>0</v>
      </c>
      <c r="AV8" s="41">
        <v>0</v>
      </c>
      <c r="AW8" s="46">
        <v>635</v>
      </c>
      <c r="AX8" s="46">
        <v>1919</v>
      </c>
    </row>
    <row r="9" spans="1:50" x14ac:dyDescent="0.25">
      <c r="A9" s="37">
        <v>2030</v>
      </c>
      <c r="B9" t="s">
        <v>9</v>
      </c>
      <c r="C9" s="42"/>
      <c r="D9" s="42">
        <v>80</v>
      </c>
      <c r="E9" s="42">
        <v>384</v>
      </c>
      <c r="F9" s="42"/>
      <c r="G9" s="42">
        <v>6</v>
      </c>
      <c r="H9" s="42">
        <v>6</v>
      </c>
      <c r="I9" s="42">
        <v>100</v>
      </c>
      <c r="J9" s="39">
        <v>211</v>
      </c>
      <c r="K9" s="39">
        <v>174</v>
      </c>
      <c r="L9" s="39">
        <v>17</v>
      </c>
      <c r="M9" s="39">
        <v>87</v>
      </c>
      <c r="N9" s="39">
        <v>968</v>
      </c>
      <c r="O9" s="39"/>
      <c r="P9" s="39">
        <v>1808</v>
      </c>
      <c r="Q9" s="39"/>
      <c r="R9" s="39">
        <v>49</v>
      </c>
      <c r="S9" s="39"/>
      <c r="T9" s="41">
        <v>14.019046588766161</v>
      </c>
      <c r="U9" s="41">
        <v>57.112460188294058</v>
      </c>
      <c r="V9" s="41">
        <v>118.56571012029215</v>
      </c>
      <c r="W9" s="41">
        <v>373.15188004345958</v>
      </c>
      <c r="X9" s="41">
        <v>19.478714660644254</v>
      </c>
      <c r="Y9" s="41">
        <v>41.111220226301306</v>
      </c>
      <c r="Z9" s="41">
        <v>46.56096817224249</v>
      </c>
      <c r="AA9" s="43"/>
      <c r="AB9" s="43"/>
      <c r="AC9" s="43">
        <v>70</v>
      </c>
      <c r="AD9" s="43"/>
      <c r="AE9" s="43">
        <v>786</v>
      </c>
      <c r="AF9" s="43"/>
      <c r="AG9" s="44">
        <v>31.73</v>
      </c>
      <c r="AH9" s="44">
        <v>21.87</v>
      </c>
      <c r="AI9" s="44">
        <v>6.34</v>
      </c>
      <c r="AJ9" s="44"/>
      <c r="AK9" s="44">
        <v>32.020000000000003</v>
      </c>
      <c r="AL9" s="44"/>
      <c r="AM9" s="44"/>
      <c r="AN9" s="44"/>
      <c r="AO9" s="44">
        <v>32</v>
      </c>
      <c r="AP9" s="44"/>
      <c r="AQ9" s="44">
        <v>6</v>
      </c>
      <c r="AR9" s="44">
        <v>546</v>
      </c>
      <c r="AS9" s="41">
        <v>0</v>
      </c>
      <c r="AT9" s="41">
        <v>0</v>
      </c>
      <c r="AU9" s="41">
        <v>0</v>
      </c>
      <c r="AV9" s="41">
        <v>0</v>
      </c>
      <c r="AW9" s="46"/>
      <c r="AX9" s="46"/>
    </row>
    <row r="10" spans="1:50" x14ac:dyDescent="0.25">
      <c r="A10" s="37">
        <v>2030</v>
      </c>
      <c r="B10" t="s">
        <v>16</v>
      </c>
      <c r="C10" s="42"/>
      <c r="D10" s="42"/>
      <c r="E10" s="42"/>
      <c r="F10" s="42"/>
      <c r="G10" s="42"/>
      <c r="H10" s="42">
        <v>10</v>
      </c>
      <c r="I10" s="42"/>
      <c r="J10" s="39"/>
      <c r="K10" s="39"/>
      <c r="L10" s="39"/>
      <c r="M10" s="39"/>
      <c r="N10" s="39">
        <v>2</v>
      </c>
      <c r="O10" s="39"/>
      <c r="P10" s="39">
        <v>54</v>
      </c>
      <c r="Q10" s="39"/>
      <c r="R10" s="39">
        <v>3</v>
      </c>
      <c r="S10" s="39">
        <v>17</v>
      </c>
      <c r="T10" s="41">
        <v>18.161988714998547</v>
      </c>
      <c r="U10" s="41">
        <v>73.99047081110335</v>
      </c>
      <c r="V10" s="41">
        <v>153.60453191703519</v>
      </c>
      <c r="W10" s="41">
        <v>483.42661474287002</v>
      </c>
      <c r="X10" s="41">
        <v>25.235110933491363</v>
      </c>
      <c r="Y10" s="41">
        <v>53.260506203626171</v>
      </c>
      <c r="Z10" s="41">
        <v>60.320776676875347</v>
      </c>
      <c r="AA10" s="43"/>
      <c r="AB10" s="43"/>
      <c r="AC10" s="43"/>
      <c r="AD10" s="43"/>
      <c r="AE10" s="43"/>
      <c r="AF10" s="43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6"/>
      <c r="AT10" s="46"/>
      <c r="AU10" s="46"/>
      <c r="AV10" s="46"/>
      <c r="AW10" s="46"/>
      <c r="AX10" s="46"/>
    </row>
    <row r="11" spans="1:50" x14ac:dyDescent="0.25">
      <c r="C11" s="40"/>
      <c r="D11" s="40"/>
      <c r="E11" s="40"/>
      <c r="F11" s="40"/>
      <c r="G11" s="40"/>
      <c r="H11" s="40"/>
      <c r="I11" s="40"/>
      <c r="J11" s="39"/>
      <c r="K11" s="39"/>
      <c r="L11" s="39"/>
      <c r="M11" s="39"/>
      <c r="N11" s="39"/>
      <c r="O11" s="39"/>
      <c r="P11" s="39"/>
      <c r="Q11" s="39"/>
      <c r="R11" s="39"/>
      <c r="S11" s="3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72A5-5CCC-4B20-8CAB-7335AF64279C}">
  <dimension ref="A2:AX4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9.140625" style="37"/>
    <col min="2" max="2" width="13.140625" style="37" bestFit="1" customWidth="1"/>
    <col min="3" max="16384" width="9.140625" style="37"/>
  </cols>
  <sheetData>
    <row r="2" spans="1:50" x14ac:dyDescent="0.25">
      <c r="C2" s="37" t="s">
        <v>35</v>
      </c>
      <c r="D2" s="37" t="s">
        <v>36</v>
      </c>
      <c r="E2" s="37" t="s">
        <v>37</v>
      </c>
      <c r="F2" s="37" t="s">
        <v>38</v>
      </c>
      <c r="G2" s="37" t="s">
        <v>39</v>
      </c>
      <c r="H2" s="37" t="s">
        <v>40</v>
      </c>
      <c r="I2" s="37" t="s">
        <v>41</v>
      </c>
      <c r="J2" s="37" t="s">
        <v>42</v>
      </c>
      <c r="K2" s="37" t="s">
        <v>43</v>
      </c>
      <c r="L2" s="37" t="s">
        <v>44</v>
      </c>
      <c r="M2" s="37" t="s">
        <v>45</v>
      </c>
      <c r="N2" s="37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7" t="s">
        <v>51</v>
      </c>
      <c r="T2" s="37" t="s">
        <v>52</v>
      </c>
      <c r="U2" s="37" t="s">
        <v>53</v>
      </c>
      <c r="V2" s="37" t="s">
        <v>54</v>
      </c>
      <c r="W2" s="37" t="s">
        <v>55</v>
      </c>
      <c r="X2" s="37" t="s">
        <v>56</v>
      </c>
      <c r="Y2" s="37" t="s">
        <v>57</v>
      </c>
      <c r="Z2" s="37" t="s">
        <v>58</v>
      </c>
      <c r="AA2" s="37" t="s">
        <v>59</v>
      </c>
      <c r="AB2" s="37" t="s">
        <v>60</v>
      </c>
      <c r="AC2" s="37" t="s">
        <v>61</v>
      </c>
      <c r="AD2" s="37" t="s">
        <v>62</v>
      </c>
      <c r="AE2" s="37" t="s">
        <v>63</v>
      </c>
      <c r="AF2" s="37" t="s">
        <v>64</v>
      </c>
      <c r="AG2" s="37" t="s">
        <v>65</v>
      </c>
      <c r="AH2" s="37" t="s">
        <v>66</v>
      </c>
      <c r="AI2" s="37" t="s">
        <v>67</v>
      </c>
      <c r="AJ2" s="37" t="s">
        <v>68</v>
      </c>
      <c r="AK2" s="37" t="s">
        <v>69</v>
      </c>
      <c r="AL2" s="37" t="s">
        <v>70</v>
      </c>
      <c r="AM2" s="37" t="s">
        <v>71</v>
      </c>
      <c r="AN2" s="37" t="s">
        <v>72</v>
      </c>
      <c r="AO2" s="37" t="s">
        <v>73</v>
      </c>
      <c r="AP2" s="37" t="s">
        <v>74</v>
      </c>
      <c r="AQ2" s="37" t="s">
        <v>75</v>
      </c>
      <c r="AR2" s="37" t="s">
        <v>76</v>
      </c>
      <c r="AS2" s="37" t="s">
        <v>77</v>
      </c>
      <c r="AT2" s="37" t="s">
        <v>78</v>
      </c>
      <c r="AU2" s="37" t="s">
        <v>79</v>
      </c>
      <c r="AV2" s="37" t="s">
        <v>80</v>
      </c>
      <c r="AW2" s="37" t="s">
        <v>81</v>
      </c>
      <c r="AX2" s="37" t="s">
        <v>82</v>
      </c>
    </row>
    <row r="3" spans="1:50" x14ac:dyDescent="0.25">
      <c r="A3" s="37">
        <v>2030</v>
      </c>
      <c r="B3" s="37" t="s">
        <v>17</v>
      </c>
      <c r="C3" s="50"/>
      <c r="D3" s="50">
        <v>3485</v>
      </c>
      <c r="E3" s="50">
        <v>1308</v>
      </c>
      <c r="F3" s="50">
        <v>440</v>
      </c>
      <c r="G3" s="50">
        <v>864</v>
      </c>
      <c r="H3" s="50">
        <v>281</v>
      </c>
      <c r="I3" s="50">
        <v>1172</v>
      </c>
      <c r="J3" s="50"/>
      <c r="K3" s="50"/>
      <c r="L3" s="50"/>
      <c r="M3" s="50"/>
      <c r="N3" s="50">
        <v>5065</v>
      </c>
      <c r="O3" s="50"/>
      <c r="P3" s="50">
        <v>9449</v>
      </c>
      <c r="Q3" s="50">
        <v>699</v>
      </c>
      <c r="R3" s="50"/>
      <c r="S3" s="50">
        <v>292</v>
      </c>
      <c r="T3" s="50">
        <v>151.82418216132427</v>
      </c>
      <c r="U3" s="50">
        <v>618.51941959143528</v>
      </c>
      <c r="V3" s="50">
        <v>1284.0489442281191</v>
      </c>
      <c r="W3" s="50">
        <v>4041.1791665602127</v>
      </c>
      <c r="X3" s="50">
        <v>210.9515725039324</v>
      </c>
      <c r="Y3" s="50">
        <v>445.22837904782432</v>
      </c>
      <c r="Z3" s="50">
        <v>504.2483359071515</v>
      </c>
      <c r="AA3" s="50"/>
      <c r="AB3" s="50"/>
      <c r="AC3" s="50">
        <v>900</v>
      </c>
      <c r="AD3" s="50"/>
      <c r="AE3" s="50"/>
      <c r="AG3" s="50"/>
      <c r="AH3" s="50">
        <v>522</v>
      </c>
      <c r="AI3" s="50">
        <v>60.2</v>
      </c>
      <c r="AJ3" s="50"/>
      <c r="AK3" s="50">
        <v>482.5</v>
      </c>
      <c r="AL3" s="50">
        <v>1589</v>
      </c>
      <c r="AM3" s="50">
        <v>3707</v>
      </c>
      <c r="AN3" s="50"/>
      <c r="AO3" s="50">
        <v>642</v>
      </c>
      <c r="AP3" s="50">
        <v>916</v>
      </c>
      <c r="AQ3" s="50">
        <v>180</v>
      </c>
      <c r="AR3" s="50">
        <v>3418</v>
      </c>
      <c r="AS3" s="50"/>
      <c r="AT3" s="50"/>
      <c r="AU3" s="50"/>
      <c r="AV3" s="50"/>
      <c r="AW3" s="50">
        <v>6697</v>
      </c>
      <c r="AX3" s="50">
        <v>4309</v>
      </c>
    </row>
    <row r="4" spans="1:50" x14ac:dyDescent="0.25">
      <c r="A4" s="37">
        <v>2030</v>
      </c>
      <c r="B4" s="37" t="s">
        <v>18</v>
      </c>
      <c r="G4" s="37">
        <v>394</v>
      </c>
      <c r="P4" s="37">
        <v>11009</v>
      </c>
      <c r="R4" s="37">
        <v>1536</v>
      </c>
      <c r="AN4" s="37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fuel_conv</vt:lpstr>
      <vt:lpstr>fuel_renew</vt:lpstr>
      <vt:lpstr>tech_conv</vt:lpstr>
      <vt:lpstr>tech_renew</vt:lpstr>
      <vt:lpstr>tech_stor</vt:lpstr>
      <vt:lpstr>co2</vt:lpstr>
      <vt:lpstr>ntc</vt:lpstr>
      <vt:lpstr>targets</vt:lpstr>
      <vt:lpstr>cap_hydro</vt:lpstr>
      <vt:lpstr>cap_pumpstor</vt:lpstr>
      <vt:lpstr>cap_conv</vt:lpstr>
      <vt:lpstr>#cap_renew</vt:lpstr>
      <vt:lpstr>#cap_stor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Gams_Froehlich</dc:creator>
  <cp:lastModifiedBy>HP_Fröhlich</cp:lastModifiedBy>
  <dcterms:created xsi:type="dcterms:W3CDTF">2024-09-17T09:01:26Z</dcterms:created>
  <dcterms:modified xsi:type="dcterms:W3CDTF">2026-02-26T09:23:08Z</dcterms:modified>
</cp:coreProperties>
</file>